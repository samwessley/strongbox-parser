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ekingery/Downloads/"/>
    </mc:Choice>
  </mc:AlternateContent>
  <xr:revisionPtr revIDLastSave="0" documentId="13_ncr:1_{2F490E95-FDE8-FC40-ADA8-8E8DC9C9AC4F}" xr6:coauthVersionLast="47" xr6:coauthVersionMax="47" xr10:uidLastSave="{00000000-0000-0000-0000-000000000000}"/>
  <bookViews>
    <workbookView xWindow="14380" yWindow="-18280" windowWidth="22880" windowHeight="17080" xr2:uid="{B740160A-9266-774A-BDE4-1DC23130FF97}"/>
  </bookViews>
  <sheets>
    <sheet name="Instructions" sheetId="1" r:id="rId1"/>
    <sheet name="Data Validation Tests" sheetId="5" r:id="rId2"/>
    <sheet name="Notes" sheetId="10" r:id="rId3"/>
    <sheet name="Comparative Trial Balances" sheetId="2" r:id="rId4"/>
    <sheet name="Journal Entries &amp; Lines" sheetId="3" r:id="rId5"/>
    <sheet name="Banking Accts" sheetId="8" r:id="rId6"/>
    <sheet name="Banking Txn" sheetId="9" r:id="rId7"/>
    <sheet name="Mapping Categories" sheetId="4" r:id="rId8"/>
  </sheets>
  <definedNames>
    <definedName name="_xlnm._FilterDatabase" localSheetId="3" hidden="1">'Comparative Trial Balances'!$A$2:$G$812</definedName>
    <definedName name="_xlnm._FilterDatabase" localSheetId="4" hidden="1">'Journal Entries &amp; Lines'!#REF!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61" i="5" l="1"/>
  <c r="H59" i="5"/>
  <c r="H33" i="5" l="1"/>
  <c r="H10" i="5" l="1"/>
  <c r="H71" i="5" a="1"/>
  <c r="H71" i="5" s="1"/>
  <c r="H73" i="5" a="1"/>
  <c r="H73" i="5" s="1"/>
  <c r="H65" i="5" l="1" a="1"/>
  <c r="H65" i="5" s="1"/>
  <c r="H67" i="5"/>
  <c r="H63" i="5"/>
  <c r="H47" i="5" a="1"/>
  <c r="H47" i="5" s="1"/>
  <c r="H45" i="5" a="1"/>
  <c r="H45" i="5" s="1"/>
  <c r="H43" i="5"/>
  <c r="H57" i="5"/>
  <c r="H55" i="5"/>
  <c r="F10" i="5"/>
  <c r="H51" i="5" l="1"/>
  <c r="H49" i="5" a="1"/>
  <c r="H4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 authorId="0" shapeId="0" xr:uid="{DC8A284F-FF02-5048-96C0-181D89F72609}">
      <text>
        <r>
          <rPr>
            <b/>
            <sz val="10"/>
            <color rgb="FF000000"/>
            <rFont val="Tahoma"/>
            <family val="2"/>
          </rPr>
          <t xml:space="preserve">Account ID: </t>
        </r>
        <r>
          <rPr>
            <sz val="10"/>
            <color rgb="FF000000"/>
            <rFont val="Tahoma"/>
            <family val="2"/>
          </rPr>
          <t xml:space="preserve">
</t>
        </r>
        <r>
          <rPr>
            <sz val="10"/>
            <color rgb="FF000000"/>
            <rFont val="Tahoma"/>
            <family val="2"/>
          </rPr>
          <t>This is the account ID (usually a 4-digit code) used by the system to identify the account. If your system does not have a numberical account ID, use the account name as Account ID. Note: Account ID must be unique for each account.</t>
        </r>
        <r>
          <rPr>
            <b/>
            <sz val="10"/>
            <color rgb="FF000000"/>
            <rFont val="Tahoma"/>
            <family val="2"/>
          </rPr>
          <t xml:space="preserve">
</t>
        </r>
      </text>
    </comment>
    <comment ref="B2" authorId="0" shapeId="0" xr:uid="{DE66C2B2-3613-F040-9D93-F1C926D3270E}">
      <text>
        <r>
          <rPr>
            <b/>
            <sz val="10"/>
            <color rgb="FF000000"/>
            <rFont val="Tahoma"/>
            <family val="2"/>
          </rPr>
          <t xml:space="preserve">Account Name: </t>
        </r>
        <r>
          <rPr>
            <sz val="10"/>
            <color rgb="FF000000"/>
            <rFont val="Tahoma"/>
            <family val="2"/>
          </rPr>
          <t xml:space="preserve">The name of the account (i.e. Accounts Receievable). Note: Acount Name does not have to be unique for each account.
</t>
        </r>
      </text>
    </comment>
    <comment ref="C2" authorId="0" shapeId="0" xr:uid="{CD829BF3-8009-6740-8576-73B60C4978C5}">
      <text>
        <r>
          <rPr>
            <b/>
            <sz val="10"/>
            <color rgb="FF000000"/>
            <rFont val="Tahoma"/>
            <family val="2"/>
          </rPr>
          <t>Beginning Balance:</t>
        </r>
        <r>
          <rPr>
            <sz val="10"/>
            <color rgb="FF000000"/>
            <rFont val="Tahoma"/>
            <family val="2"/>
          </rPr>
          <t xml:space="preserve"> This is the account balance at the beginning of the testing period. The begining and ending balances are used to ensure the solution has a complete set of journal entries for the period.
</t>
        </r>
      </text>
    </comment>
    <comment ref="D2" authorId="0" shapeId="0" xr:uid="{D48CD372-F020-E94D-BA40-8870BE7276D6}">
      <text>
        <r>
          <rPr>
            <b/>
            <sz val="10"/>
            <color rgb="FF000000"/>
            <rFont val="Tahoma"/>
            <family val="2"/>
          </rPr>
          <t xml:space="preserve">Ending Balance: </t>
        </r>
        <r>
          <rPr>
            <sz val="10"/>
            <color rgb="FF000000"/>
            <rFont val="Tahoma"/>
            <family val="2"/>
          </rPr>
          <t xml:space="preserve">This is the account balance at the end of the testing period.
</t>
        </r>
      </text>
    </comment>
    <comment ref="E2" authorId="0" shapeId="0" xr:uid="{3017FE6D-4FB4-1248-96FC-6124C01FC303}">
      <text>
        <r>
          <rPr>
            <b/>
            <sz val="10"/>
            <color rgb="FF000000"/>
            <rFont val="Tahoma"/>
            <family val="2"/>
          </rPr>
          <t xml:space="preserve">Account Type: </t>
        </r>
        <r>
          <rPr>
            <sz val="10"/>
            <color rgb="FF000000"/>
            <rFont val="Arial"/>
            <family val="2"/>
          </rPr>
          <t>Asset, Liability, Equity, Income, Expense</t>
        </r>
        <r>
          <rPr>
            <sz val="10"/>
            <color rgb="FF000000"/>
            <rFont val="Tahoma"/>
            <family val="2"/>
          </rPr>
          <t xml:space="preserve">
</t>
        </r>
      </text>
    </comment>
    <comment ref="F2" authorId="0" shapeId="0" xr:uid="{53D8E216-9AEC-4046-A9E8-9D6C7A2DD575}">
      <text>
        <r>
          <rPr>
            <b/>
            <sz val="10"/>
            <color rgb="FF000000"/>
            <rFont val="Tahoma"/>
            <family val="2"/>
          </rPr>
          <t xml:space="preserve">Account Mapping: </t>
        </r>
        <r>
          <rPr>
            <sz val="10"/>
            <color rgb="FF000000"/>
            <rFont val="Tahoma"/>
            <family val="2"/>
          </rPr>
          <t xml:space="preserve">The financial statement line item. See the Mapping Categories tab.
</t>
        </r>
      </text>
    </comment>
    <comment ref="G2" authorId="0" shapeId="0" xr:uid="{C0F2336B-79A9-0840-B79D-CB05A7496CFD}">
      <text>
        <r>
          <rPr>
            <b/>
            <sz val="10"/>
            <color rgb="FF000000"/>
            <rFont val="Tahoma"/>
            <family val="2"/>
          </rPr>
          <t xml:space="preserve">Account Description: </t>
        </r>
        <r>
          <rPr>
            <sz val="10"/>
            <color rgb="FF000000"/>
            <rFont val="Tahoma"/>
            <family val="2"/>
          </rPr>
          <t xml:space="preserve">Optional field used for locations, class, or other identifiers.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2" authorId="0" shapeId="0" xr:uid="{C2D60310-35BD-6B4D-BA9A-95A79D4D4095}">
      <text>
        <r>
          <rPr>
            <b/>
            <sz val="10"/>
            <color rgb="FF000000"/>
            <rFont val="Tahoma"/>
            <family val="2"/>
          </rPr>
          <t xml:space="preserve">Journal ID: </t>
        </r>
        <r>
          <rPr>
            <sz val="10"/>
            <color rgb="FF000000"/>
            <rFont val="Tahoma"/>
            <family val="2"/>
          </rPr>
          <t xml:space="preserve">The unique ID to identify the journal entry.
</t>
        </r>
      </text>
    </comment>
    <comment ref="B2" authorId="0" shapeId="0" xr:uid="{2FEA9ECB-5EDE-EB4C-BD1D-246CEF11A182}">
      <text>
        <r>
          <rPr>
            <b/>
            <sz val="10"/>
            <color rgb="FF000000"/>
            <rFont val="Tahoma"/>
            <family val="2"/>
          </rPr>
          <t xml:space="preserve">Journal Entry Description: </t>
        </r>
        <r>
          <rPr>
            <sz val="10"/>
            <color rgb="FF000000"/>
            <rFont val="Arial"/>
            <family val="2"/>
          </rPr>
          <t xml:space="preserve">Description of the entire journal entry posted to the General Ledger </t>
        </r>
        <r>
          <rPr>
            <sz val="10"/>
            <color rgb="FF000000"/>
            <rFont val="Tahoma"/>
            <family val="2"/>
          </rPr>
          <t xml:space="preserve">
</t>
        </r>
      </text>
    </comment>
    <comment ref="C2" authorId="0" shapeId="0" xr:uid="{4911B272-0C61-AB42-BD96-2810ADA70DD5}">
      <text>
        <r>
          <rPr>
            <b/>
            <sz val="10"/>
            <color rgb="FF000000"/>
            <rFont val="Tahoma"/>
            <family val="2"/>
          </rPr>
          <t xml:space="preserve">Posted Date: </t>
        </r>
        <r>
          <rPr>
            <sz val="10"/>
            <color rgb="FF000000"/>
            <rFont val="Arial"/>
            <family val="2"/>
          </rPr>
          <t xml:space="preserve">The "accounting" date used by the system. This is not the date the data is entered in the system (i.e. created date). </t>
        </r>
        <r>
          <rPr>
            <sz val="10"/>
            <color rgb="FF000000"/>
            <rFont val="Tahoma"/>
            <family val="2"/>
          </rPr>
          <t xml:space="preserve">
</t>
        </r>
      </text>
    </comment>
    <comment ref="D2" authorId="0" shapeId="0" xr:uid="{16AFF749-736D-2541-AD9C-51D66EDD48FE}">
      <text>
        <r>
          <rPr>
            <b/>
            <sz val="10"/>
            <color rgb="FF000000"/>
            <rFont val="Tahoma"/>
            <family val="2"/>
          </rPr>
          <t xml:space="preserve">Account ID: </t>
        </r>
        <r>
          <rPr>
            <sz val="10"/>
            <color rgb="FF000000"/>
            <rFont val="Arial"/>
            <family val="2"/>
          </rPr>
          <t xml:space="preserve">The ID associated with the account in the accounting system's Chart of Accounts.  </t>
        </r>
        <r>
          <rPr>
            <sz val="10"/>
            <color rgb="FF000000"/>
            <rFont val="Tahoma"/>
            <family val="2"/>
          </rPr>
          <t xml:space="preserve">
</t>
        </r>
      </text>
    </comment>
    <comment ref="E2" authorId="0" shapeId="0" xr:uid="{C9B57AD8-5F3C-3C4B-9ACB-8114FB739C4F}">
      <text>
        <r>
          <rPr>
            <b/>
            <sz val="10"/>
            <color rgb="FF000000"/>
            <rFont val="Tahoma"/>
            <family val="2"/>
          </rPr>
          <t xml:space="preserve">Journal Line Description: </t>
        </r>
        <r>
          <rPr>
            <sz val="10"/>
            <color rgb="FF000000"/>
            <rFont val="Arial"/>
            <family val="2"/>
          </rPr>
          <t>A single line item description in a Journal Entry that either increased or decreased an account balance.</t>
        </r>
        <r>
          <rPr>
            <sz val="10"/>
            <color rgb="FF000000"/>
            <rFont val="Tahoma"/>
            <family val="2"/>
          </rPr>
          <t xml:space="preserve">
</t>
        </r>
      </text>
    </comment>
    <comment ref="F2" authorId="0" shapeId="0" xr:uid="{9FAF91FE-6E63-B440-936E-01066D1DB1CF}">
      <text>
        <r>
          <rPr>
            <b/>
            <sz val="10"/>
            <color rgb="FF000000"/>
            <rFont val="Tahoma"/>
            <family val="2"/>
          </rPr>
          <t xml:space="preserve">Debit Amount: </t>
        </r>
        <r>
          <rPr>
            <sz val="10"/>
            <color rgb="FF000000"/>
            <rFont val="Arial"/>
            <family val="2"/>
          </rPr>
          <t xml:space="preserve">A transaction entry that either:
</t>
        </r>
        <r>
          <rPr>
            <sz val="10"/>
            <color rgb="FF000000"/>
            <rFont val="Arial"/>
            <family val="2"/>
          </rPr>
          <t xml:space="preserve">   - Increases an asset or expense account, or 
</t>
        </r>
        <r>
          <rPr>
            <sz val="10"/>
            <color rgb="FF000000"/>
            <rFont val="Arial"/>
            <family val="2"/>
          </rPr>
          <t xml:space="preserve">   - Decreases a liability or equity account. </t>
        </r>
        <r>
          <rPr>
            <sz val="10"/>
            <color rgb="FF000000"/>
            <rFont val="Tahoma"/>
            <family val="2"/>
          </rPr>
          <t xml:space="preserve">
</t>
        </r>
      </text>
    </comment>
    <comment ref="G2" authorId="0" shapeId="0" xr:uid="{A5FD673D-B9D6-F94A-959B-CC60E3C538EF}">
      <text>
        <r>
          <rPr>
            <b/>
            <sz val="10"/>
            <color rgb="FF000000"/>
            <rFont val="Tahoma"/>
            <family val="2"/>
          </rPr>
          <t xml:space="preserve">Credit Amount: </t>
        </r>
        <r>
          <rPr>
            <sz val="10"/>
            <color rgb="FF000000"/>
            <rFont val="Arial"/>
            <family val="2"/>
          </rPr>
          <t xml:space="preserve">A transaction entry that either:
</t>
        </r>
        <r>
          <rPr>
            <sz val="10"/>
            <color rgb="FF000000"/>
            <rFont val="Arial"/>
            <family val="2"/>
          </rPr>
          <t xml:space="preserve">  - Increases a liability or equity account, or
</t>
        </r>
        <r>
          <rPr>
            <sz val="10"/>
            <color rgb="FF000000"/>
            <rFont val="Arial"/>
            <family val="2"/>
          </rPr>
          <t xml:space="preserve">  - Decreases an asset or expense account.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Womack</author>
  </authors>
  <commentList>
    <comment ref="A2" authorId="0" shapeId="0" xr:uid="{581098C6-8F4B-2540-82F9-F3B66B11A3CE}">
      <text>
        <r>
          <rPr>
            <b/>
            <sz val="10"/>
            <color rgb="FF000000"/>
            <rFont val="Arial"/>
            <family val="2"/>
          </rPr>
          <t xml:space="preserve">Account Number: </t>
        </r>
        <r>
          <rPr>
            <sz val="10"/>
            <color rgb="FF000000"/>
            <rFont val="Arial"/>
            <family val="2"/>
          </rPr>
          <t xml:space="preserve">Number of the Bank Account. Note this number needs to match the Account Number listed on the bank tranactions.
</t>
        </r>
        <r>
          <rPr>
            <sz val="10"/>
            <color rgb="FF000000"/>
            <rFont val="Tahoma"/>
            <family val="2"/>
          </rPr>
          <t xml:space="preserve">
</t>
        </r>
      </text>
    </comment>
    <comment ref="D2" authorId="0" shapeId="0" xr:uid="{F0C9D8DB-D512-2B4B-B94E-D29037D9063C}">
      <text>
        <r>
          <rPr>
            <b/>
            <sz val="10"/>
            <color rgb="FF000000"/>
            <rFont val="Tahoma"/>
            <family val="2"/>
          </rPr>
          <t>Currency</t>
        </r>
        <r>
          <rPr>
            <b/>
            <sz val="10"/>
            <color rgb="FF000000"/>
            <rFont val="Arial"/>
            <family val="2"/>
            <scheme val="minor"/>
          </rPr>
          <t xml:space="preserve">: </t>
        </r>
        <r>
          <rPr>
            <sz val="10"/>
            <color rgb="FF000000"/>
            <rFont val="Arial"/>
            <family val="2"/>
            <scheme val="minor"/>
          </rPr>
          <t xml:space="preserve">
</t>
        </r>
        <r>
          <rPr>
            <sz val="10"/>
            <color rgb="FF000000"/>
            <rFont val="Tahoma"/>
            <family val="2"/>
          </rPr>
          <t xml:space="preserve">Currency of banking data provided. If this is null it will be set to USD. For a Listing of supported currrencies see tab Mapping Categories.
</t>
        </r>
        <r>
          <rPr>
            <sz val="10"/>
            <color rgb="FF000000"/>
            <rFont val="Tahoma"/>
            <family val="2"/>
          </rPr>
          <t xml:space="preserve">
</t>
        </r>
        <r>
          <rPr>
            <b/>
            <sz val="10"/>
            <color rgb="FF000000"/>
            <rFont val="Arial"/>
            <family val="2"/>
            <scheme val="minor"/>
          </rPr>
          <t xml:space="preserve">IMPORTANT: </t>
        </r>
        <r>
          <rPr>
            <sz val="10"/>
            <color rgb="FF000000"/>
            <rFont val="Arial"/>
            <family val="2"/>
            <scheme val="minor"/>
          </rPr>
          <t>Banking data must match reporting currency.  If it does not you must convert the data or use the Audit Sight data conversion services.</t>
        </r>
        <r>
          <rPr>
            <sz val="10"/>
            <color rgb="FF000000"/>
            <rFont val="Arial"/>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Womack</author>
  </authors>
  <commentList>
    <comment ref="C2" authorId="0" shapeId="0" xr:uid="{C956CFD4-FEE3-8044-BFF9-6A46C3DDA7A1}">
      <text>
        <r>
          <rPr>
            <b/>
            <sz val="12"/>
            <color rgb="FF000000"/>
            <rFont val="Arial"/>
            <family val="2"/>
            <scheme val="minor"/>
          </rPr>
          <t xml:space="preserve">Amount: 
</t>
        </r>
        <r>
          <rPr>
            <sz val="12"/>
            <color rgb="FF000000"/>
            <rFont val="Arial"/>
            <family val="2"/>
            <scheme val="minor"/>
          </rPr>
          <t xml:space="preserve">Positive amounts represent cash inflows to the bank.
</t>
        </r>
        <r>
          <rPr>
            <sz val="12"/>
            <color rgb="FF000000"/>
            <rFont val="Arial"/>
            <family val="2"/>
            <scheme val="minor"/>
          </rPr>
          <t xml:space="preserve"> Negative amounts represent cash outflows from the bank</t>
        </r>
        <r>
          <rPr>
            <sz val="18"/>
            <color rgb="FF000000"/>
            <rFont val="Arial"/>
            <family val="2"/>
            <scheme val="minor"/>
          </rPr>
          <t>.</t>
        </r>
        <r>
          <rPr>
            <sz val="10"/>
            <color rgb="FF000000"/>
            <rFont val="Arial"/>
            <family val="2"/>
            <scheme val="minor"/>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Womack</author>
  </authors>
  <commentList>
    <comment ref="B2" authorId="0" shapeId="0" xr:uid="{3926AC34-6D1B-294F-846E-42F1E7FEAAE9}">
      <text>
        <r>
          <rPr>
            <b/>
            <sz val="10"/>
            <color rgb="FF000000"/>
            <rFont val="Arial"/>
            <family val="2"/>
          </rPr>
          <t>Definition</t>
        </r>
        <r>
          <rPr>
            <sz val="10"/>
            <color rgb="FF000000"/>
            <rFont val="Arial"/>
            <family val="2"/>
          </rPr>
          <t xml:space="preserve">: Cash held in checking or savings accounts that is immediately available.
</t>
        </r>
        <r>
          <rPr>
            <b/>
            <sz val="10"/>
            <color rgb="FF000000"/>
            <rFont val="Arial"/>
            <family val="2"/>
          </rPr>
          <t>Includes</t>
        </r>
        <r>
          <rPr>
            <sz val="10"/>
            <color rgb="FF000000"/>
            <rFont val="Arial"/>
            <family val="2"/>
          </rPr>
          <t>: All accounts that have a related bank account.</t>
        </r>
      </text>
    </comment>
    <comment ref="B3" authorId="0" shapeId="0" xr:uid="{5D570146-F662-5B48-BF03-9FA6366A3898}">
      <text>
        <r>
          <rPr>
            <b/>
            <sz val="10"/>
            <color rgb="FF000000"/>
            <rFont val="Arial"/>
            <family val="2"/>
          </rPr>
          <t>Definition</t>
        </r>
        <r>
          <rPr>
            <sz val="10"/>
            <color rgb="FF000000"/>
            <rFont val="Arial"/>
            <family val="2"/>
          </rPr>
          <t>: Funds received (e.g., customer payments) but not yet deposited into the bank.</t>
        </r>
      </text>
    </comment>
    <comment ref="B4" authorId="0" shapeId="0" xr:uid="{DB420C02-0613-6848-824A-1509EC512CBB}">
      <text>
        <r>
          <rPr>
            <b/>
            <sz val="10"/>
            <color rgb="FF000000"/>
            <rFont val="Arial"/>
            <family val="2"/>
          </rPr>
          <t>Definition</t>
        </r>
        <r>
          <rPr>
            <sz val="10"/>
            <color rgb="FF000000"/>
            <rFont val="Arial"/>
            <family val="2"/>
          </rPr>
          <t xml:space="preserve">: Cash-like accounts that are not traditional bank accounts or cash accounts used as clearing accounts.
</t>
        </r>
        <r>
          <rPr>
            <b/>
            <sz val="10"/>
            <color rgb="FF000000"/>
            <rFont val="Arial"/>
            <family val="2"/>
          </rPr>
          <t>Includes</t>
        </r>
        <r>
          <rPr>
            <sz val="10"/>
            <color rgb="FF000000"/>
            <rFont val="Arial"/>
            <family val="2"/>
          </rPr>
          <t>: PayPal, Venmo, Bill.com, and any other clearing accounts not related to funds from customers.</t>
        </r>
      </text>
    </comment>
    <comment ref="B5" authorId="0" shapeId="0" xr:uid="{4585582F-6AEC-9E44-8C30-7E42E1D7FA6F}">
      <text>
        <r>
          <rPr>
            <b/>
            <sz val="10"/>
            <color rgb="FF000000"/>
            <rFont val="Arial"/>
            <family val="2"/>
          </rPr>
          <t>Definition</t>
        </r>
        <r>
          <rPr>
            <sz val="10"/>
            <color rgb="FF000000"/>
            <rFont val="Arial"/>
            <family val="2"/>
          </rPr>
          <t xml:space="preserve">: Cash held temporarily in short-term, highly liquid investments.
</t>
        </r>
        <r>
          <rPr>
            <b/>
            <sz val="10"/>
            <color rgb="FF000000"/>
            <rFont val="Arial"/>
            <family val="2"/>
          </rPr>
          <t>Includes</t>
        </r>
        <r>
          <rPr>
            <sz val="10"/>
            <color rgb="FF000000"/>
            <rFont val="Arial"/>
            <family val="2"/>
          </rPr>
          <t xml:space="preserve">: Money market funds, certificates of deposit (with maturities under 12 months).
</t>
        </r>
      </text>
    </comment>
    <comment ref="C5" authorId="0" shapeId="0" xr:uid="{39BF8476-FECB-744C-92AC-B5BFAD6420EE}">
      <text>
        <r>
          <rPr>
            <b/>
            <sz val="10"/>
            <color rgb="FF000000"/>
            <rFont val="Arial"/>
            <family val="2"/>
          </rPr>
          <t>Definition</t>
        </r>
        <r>
          <rPr>
            <sz val="10"/>
            <color rgb="FF000000"/>
            <rFont val="Arial"/>
            <family val="2"/>
          </rPr>
          <t xml:space="preserve">: Accrued payroll expenses and employee-related liabilities.
</t>
        </r>
        <r>
          <rPr>
            <b/>
            <sz val="10"/>
            <color rgb="FF000000"/>
            <rFont val="Arial"/>
            <family val="2"/>
          </rPr>
          <t>Includes</t>
        </r>
        <r>
          <rPr>
            <sz val="10"/>
            <color rgb="FF000000"/>
            <rFont val="Arial"/>
            <family val="2"/>
          </rPr>
          <t xml:space="preserve">: Wages payable, payroll taxes payable, accrued bonuses.
</t>
        </r>
      </text>
    </comment>
    <comment ref="B6" authorId="0" shapeId="0" xr:uid="{03A69514-2EA1-684A-A9E8-D920DDEB5239}">
      <text>
        <r>
          <rPr>
            <b/>
            <sz val="10"/>
            <color rgb="FF000000"/>
            <rFont val="Arial"/>
            <family val="2"/>
          </rPr>
          <t>Definition</t>
        </r>
        <r>
          <rPr>
            <sz val="10"/>
            <color rgb="FF000000"/>
            <rFont val="Arial"/>
            <family val="2"/>
          </rPr>
          <t xml:space="preserve">: Investments expected to be liquidated within a year.
</t>
        </r>
        <r>
          <rPr>
            <b/>
            <sz val="10"/>
            <color rgb="FF000000"/>
            <rFont val="Arial"/>
            <family val="2"/>
          </rPr>
          <t>Includes</t>
        </r>
        <r>
          <rPr>
            <sz val="10"/>
            <color rgb="FF000000"/>
            <rFont val="Arial"/>
            <family val="2"/>
          </rPr>
          <t xml:space="preserve">: Short-term marketable securities, treasury bills.
</t>
        </r>
      </text>
    </comment>
    <comment ref="C6" authorId="0" shapeId="0" xr:uid="{60396127-8F7D-E147-8586-8BD7632A77D8}">
      <text>
        <r>
          <rPr>
            <b/>
            <sz val="10"/>
            <color rgb="FF000000"/>
            <rFont val="Arial"/>
            <family val="2"/>
          </rPr>
          <t>Definition</t>
        </r>
        <r>
          <rPr>
            <sz val="10"/>
            <color rgb="FF000000"/>
            <rFont val="Arial"/>
            <family val="2"/>
          </rPr>
          <t xml:space="preserve">: Sales taxes collected from customers but not yet remitted to tax authorities.
</t>
        </r>
        <r>
          <rPr>
            <b/>
            <sz val="10"/>
            <color rgb="FF000000"/>
            <rFont val="Arial"/>
            <family val="2"/>
          </rPr>
          <t>Includes</t>
        </r>
        <r>
          <rPr>
            <sz val="10"/>
            <color rgb="FF000000"/>
            <rFont val="Arial"/>
            <family val="2"/>
          </rPr>
          <t xml:space="preserve">: State sales tax payable, local sales tax payable such as GST and PST.
</t>
        </r>
      </text>
    </comment>
    <comment ref="B8" authorId="0" shapeId="0" xr:uid="{13765EFB-806A-AA44-84BA-7E4EA25603DB}">
      <text>
        <r>
          <rPr>
            <b/>
            <sz val="10"/>
            <color rgb="FF000000"/>
            <rFont val="Arial"/>
            <family val="2"/>
          </rPr>
          <t>Definition</t>
        </r>
        <r>
          <rPr>
            <sz val="10"/>
            <color rgb="FF000000"/>
            <rFont val="Arial"/>
            <family val="2"/>
          </rPr>
          <t xml:space="preserve">: A contra-asset account that estimates receivables expected to be uncollectible.
</t>
        </r>
        <r>
          <rPr>
            <b/>
            <sz val="10"/>
            <color rgb="FF000000"/>
            <rFont val="Arial"/>
            <family val="2"/>
          </rPr>
          <t>Includes</t>
        </r>
        <r>
          <rPr>
            <sz val="10"/>
            <color rgb="FF000000"/>
            <rFont val="Arial"/>
            <family val="2"/>
          </rPr>
          <t xml:space="preserve">: Bad debt reserves, provision for credit losses.
</t>
        </r>
      </text>
    </comment>
    <comment ref="C10" authorId="0" shapeId="0" xr:uid="{E4F7A0FF-032B-CC45-9B13-9E66C06173B1}">
      <text>
        <r>
          <rPr>
            <b/>
            <sz val="10"/>
            <color rgb="FF000000"/>
            <rFont val="Arial"/>
            <family val="2"/>
          </rPr>
          <t>Definition</t>
        </r>
        <r>
          <rPr>
            <sz val="10"/>
            <color rgb="FF000000"/>
            <rFont val="Arial"/>
            <family val="2"/>
          </rPr>
          <t xml:space="preserve">: Revenue received in advance of providing goods or services.
</t>
        </r>
        <r>
          <rPr>
            <b/>
            <sz val="10"/>
            <color rgb="FF000000"/>
            <rFont val="Arial"/>
            <family val="2"/>
          </rPr>
          <t>Includes</t>
        </r>
        <r>
          <rPr>
            <sz val="10"/>
            <color rgb="FF000000"/>
            <rFont val="Arial"/>
            <family val="2"/>
          </rPr>
          <t xml:space="preserve">: Customer prepayments for future services, subscription fees billed upfront.
</t>
        </r>
      </text>
    </comment>
    <comment ref="C11" authorId="0" shapeId="0" xr:uid="{65DD8427-2CE5-714F-88D3-9886A6655B1B}">
      <text>
        <r>
          <rPr>
            <b/>
            <sz val="10"/>
            <color rgb="FF000000"/>
            <rFont val="Arial"/>
            <family val="2"/>
          </rPr>
          <t>Definition</t>
        </r>
        <r>
          <rPr>
            <sz val="10"/>
            <color rgb="FF000000"/>
            <rFont val="Arial"/>
            <family val="2"/>
          </rPr>
          <t xml:space="preserve">: Deposits received from customers to secure future transactions.
</t>
        </r>
        <r>
          <rPr>
            <b/>
            <sz val="10"/>
            <color rgb="FF000000"/>
            <rFont val="Arial"/>
            <family val="2"/>
          </rPr>
          <t>Includes</t>
        </r>
        <r>
          <rPr>
            <sz val="10"/>
            <color rgb="FF000000"/>
            <rFont val="Arial"/>
            <family val="2"/>
          </rPr>
          <t xml:space="preserve">: Security deposits, advance deposits for future work.
</t>
        </r>
        <r>
          <rPr>
            <sz val="10"/>
            <color rgb="FF000000"/>
            <rFont val="Tahoma"/>
            <family val="2"/>
          </rPr>
          <t xml:space="preserve">
</t>
        </r>
      </text>
    </comment>
    <comment ref="C12" authorId="0" shapeId="0" xr:uid="{1DF7CCC9-A8C3-A44E-81B6-A833CCE2E324}">
      <text>
        <r>
          <rPr>
            <b/>
            <sz val="10"/>
            <color rgb="FF000000"/>
            <rFont val="Arial"/>
            <family val="2"/>
          </rPr>
          <t>Definition</t>
        </r>
        <r>
          <rPr>
            <sz val="10"/>
            <color rgb="FF000000"/>
            <rFont val="Arial"/>
            <family val="2"/>
          </rPr>
          <t xml:space="preserve">: Billings to customers that exceed the costs incurred to date on long-term projects.
</t>
        </r>
        <r>
          <rPr>
            <b/>
            <sz val="10"/>
            <color rgb="FF000000"/>
            <rFont val="Arial"/>
            <family val="2"/>
          </rPr>
          <t>Includes</t>
        </r>
        <r>
          <rPr>
            <sz val="10"/>
            <color rgb="FF000000"/>
            <rFont val="Arial"/>
            <family val="2"/>
          </rPr>
          <t xml:space="preserve">: Construction billings ahead of work performed (common in contract accounting).
</t>
        </r>
      </text>
    </comment>
    <comment ref="B16" authorId="0" shapeId="0" xr:uid="{79947FAE-3E60-1644-B7D5-2FE36DDFE848}">
      <text>
        <r>
          <rPr>
            <b/>
            <sz val="10"/>
            <color rgb="FF000000"/>
            <rFont val="Arial"/>
            <family val="2"/>
          </rPr>
          <t>Definition</t>
        </r>
        <r>
          <rPr>
            <sz val="10"/>
            <color rgb="FF000000"/>
            <rFont val="Arial"/>
            <family val="2"/>
          </rPr>
          <t xml:space="preserve">: Long-term deposits that are not expected to be refunded within a year.
</t>
        </r>
        <r>
          <rPr>
            <b/>
            <sz val="10"/>
            <color rgb="FF000000"/>
            <rFont val="Arial"/>
            <family val="2"/>
          </rPr>
          <t>Includes</t>
        </r>
        <r>
          <rPr>
            <sz val="10"/>
            <color rgb="FF000000"/>
            <rFont val="Arial"/>
            <family val="2"/>
          </rPr>
          <t xml:space="preserve">: Security deposits on leases, utility deposits.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<sst xmlns="http://schemas.openxmlformats.org/spreadsheetml/2006/main" count="534" uniqueCount="493">
  <si>
    <t>Audit Sight</t>
  </si>
  <si>
    <t>Instructions</t>
  </si>
  <si>
    <t>Instructions for populating the Journal Entries Template</t>
  </si>
  <si>
    <t>This template is designed to import the comparative trial balance and journal entries for your client. Once imported this data can be used in any of our audit modules.</t>
  </si>
  <si>
    <t>Key Reminders and FAQS</t>
  </si>
  <si>
    <t>Populate this file with data for a single Entity.</t>
  </si>
  <si>
    <t xml:space="preserve">Please ensure that the data you add to every table in this file pertains only to the specific Entity that you just selected in the Data Imports online workflow. Populate each tab with the full set of data you have available for the Entity. </t>
  </si>
  <si>
    <t xml:space="preserve">Our system relies upon the current tab structure to match each set of data with the corresponding location in the Audit Sight database. Altering the tab structure (including doing any of the things listed) will likely prevent your Data Import from completing successfully. </t>
  </si>
  <si>
    <t xml:space="preserve">Don't intermingle blank rows with data rows. </t>
  </si>
  <si>
    <t xml:space="preserve">Add data in one continuous block with no intervening empty rows.  Failure to do so will likely prevent your prevent your Data Import from completing successfully. </t>
  </si>
  <si>
    <t>Brand New Companies</t>
  </si>
  <si>
    <t>If this is a brand new company for the prior period then please enter 0s for all amounts.</t>
  </si>
  <si>
    <t>Definitions</t>
  </si>
  <si>
    <t>See below for a definition guide on each of the terms used in the indicated spreadsheet tab.</t>
  </si>
  <si>
    <t>Comparative Trial Balance Tab</t>
  </si>
  <si>
    <t>Account ID</t>
  </si>
  <si>
    <t>Account Name</t>
  </si>
  <si>
    <t>Account Type</t>
  </si>
  <si>
    <t>Asset, Liability, Equity, Income, Expense</t>
  </si>
  <si>
    <t>Account Description (optional)</t>
  </si>
  <si>
    <t>Optional field used for locations, class, or other identifiers.</t>
  </si>
  <si>
    <t>Journal Entries &amp; Lines</t>
  </si>
  <si>
    <t>Journal ID</t>
  </si>
  <si>
    <t>The unique ID to identify the journal entry.</t>
  </si>
  <si>
    <t>Journal Entry Description</t>
  </si>
  <si>
    <t>Description of the entire journal entry posted to the General Ledger</t>
  </si>
  <si>
    <t>Posted Date</t>
  </si>
  <si>
    <t>Journal Line Description</t>
  </si>
  <si>
    <t>Debit Amount</t>
  </si>
  <si>
    <t>Credit Amount</t>
  </si>
  <si>
    <t>Additional Support</t>
  </si>
  <si>
    <t>Please email support@auditsight.com and our Customer Success team will reply promptly. Thank you.</t>
  </si>
  <si>
    <t>Account Type 
(see Mapping Categories tab)</t>
  </si>
  <si>
    <t>Account Mapping  
(see Mapping Categories tab)</t>
  </si>
  <si>
    <t>Account Description</t>
  </si>
  <si>
    <t>Required</t>
  </si>
  <si>
    <t>Optional</t>
  </si>
  <si>
    <t>Account Mapping ( Assets)</t>
  </si>
  <si>
    <t>Account Mapping ( Liabilities)</t>
  </si>
  <si>
    <t>Account Mapping (Equity)</t>
  </si>
  <si>
    <t>Account Mapping (Income)</t>
  </si>
  <si>
    <t>Account Mapping (Expenses)</t>
  </si>
  <si>
    <t>Assets</t>
  </si>
  <si>
    <t>asset:current:cash</t>
  </si>
  <si>
    <t>liability:current:accountsPayable</t>
  </si>
  <si>
    <t>equity:ownersEquity</t>
  </si>
  <si>
    <t>income:operating</t>
  </si>
  <si>
    <t>expense:costOfGoodsSold</t>
  </si>
  <si>
    <t>Liabilities</t>
  </si>
  <si>
    <t>asset:current:accountsReceivable</t>
  </si>
  <si>
    <t>liability:current:interCompany</t>
  </si>
  <si>
    <t>equity:retainedEarnings</t>
  </si>
  <si>
    <t>income:nonOperating</t>
  </si>
  <si>
    <t>expense:operating</t>
  </si>
  <si>
    <t>Equity</t>
  </si>
  <si>
    <t>liability:current:salesTax</t>
  </si>
  <si>
    <t>expense:operating:amortization</t>
  </si>
  <si>
    <t>Income</t>
  </si>
  <si>
    <t>liability:current:tax</t>
  </si>
  <si>
    <t>expense:operating:depreciation</t>
  </si>
  <si>
    <t>Expense</t>
  </si>
  <si>
    <t>liability:current:other</t>
  </si>
  <si>
    <t>expense:nonOperating</t>
  </si>
  <si>
    <t>expense:nonOperating:interest</t>
  </si>
  <si>
    <t>asset:current:other</t>
  </si>
  <si>
    <t>liability:current:other:deferredRevenue</t>
  </si>
  <si>
    <t>expense:nonOperating:taxes</t>
  </si>
  <si>
    <t>liability:noncurrent:debt</t>
  </si>
  <si>
    <t>asset:nonCurrent:other</t>
  </si>
  <si>
    <t>liability:noncurrent:other</t>
  </si>
  <si>
    <t>Data Validation Tests</t>
  </si>
  <si>
    <t>Journal Entries &amp; Lines Tab</t>
  </si>
  <si>
    <t>EARLIEST ENTRY</t>
  </si>
  <si>
    <t>LATEST ENTRY</t>
  </si>
  <si>
    <t>PERIOD START DATE</t>
  </si>
  <si>
    <t>PERIOD END DATE</t>
  </si>
  <si>
    <t>Journal entry date range detected in Journal Entries &amp; Lines tab:</t>
  </si>
  <si>
    <r>
      <rPr>
        <b/>
        <sz val="12"/>
        <color rgb="FF000000"/>
        <rFont val="Arial"/>
        <family val="2"/>
        <scheme val="minor"/>
      </rPr>
      <t>3</t>
    </r>
    <r>
      <rPr>
        <sz val="12"/>
        <color rgb="FF000000"/>
        <rFont val="Arial"/>
        <family val="2"/>
        <scheme val="minor"/>
      </rPr>
      <t xml:space="preserve">   All values in the Debit column are positive numeric values</t>
    </r>
  </si>
  <si>
    <r>
      <rPr>
        <b/>
        <sz val="12"/>
        <color rgb="FF000000"/>
        <rFont val="Arial"/>
        <family val="2"/>
        <scheme val="minor"/>
      </rPr>
      <t>4</t>
    </r>
    <r>
      <rPr>
        <sz val="12"/>
        <color rgb="FF000000"/>
        <rFont val="Arial"/>
        <family val="2"/>
        <scheme val="minor"/>
      </rPr>
      <t xml:space="preserve">   All values in the Credit column are positive numeric values</t>
    </r>
  </si>
  <si>
    <r>
      <rPr>
        <b/>
        <sz val="12"/>
        <color rgb="FF000000"/>
        <rFont val="Arial"/>
        <family val="2"/>
        <scheme val="minor"/>
      </rPr>
      <t>1</t>
    </r>
    <r>
      <rPr>
        <sz val="12"/>
        <color rgb="FF000000"/>
        <rFont val="Arial"/>
        <family val="2"/>
        <scheme val="minor"/>
      </rPr>
      <t xml:space="preserve">   Journal entries span the entire fiscal period</t>
    </r>
  </si>
  <si>
    <r>
      <rPr>
        <b/>
        <sz val="12"/>
        <color rgb="FF000000"/>
        <rFont val="Arial"/>
        <family val="2"/>
        <scheme val="minor"/>
      </rPr>
      <t>2</t>
    </r>
    <r>
      <rPr>
        <sz val="12"/>
        <color rgb="FF000000"/>
        <rFont val="Arial"/>
        <family val="2"/>
        <scheme val="minor"/>
      </rPr>
      <t xml:space="preserve">   Journal entries are all within the specified fiscal period</t>
    </r>
  </si>
  <si>
    <t>Manual Validations</t>
  </si>
  <si>
    <t>Test Status</t>
  </si>
  <si>
    <t>Check that your data passes the following manual data validations to ensure it imports successfully. Check the boxes to the right after completing each manual validation.</t>
  </si>
  <si>
    <r>
      <rPr>
        <b/>
        <sz val="12"/>
        <color rgb="FF000000"/>
        <rFont val="Arial"/>
        <family val="2"/>
        <scheme val="minor"/>
      </rPr>
      <t>3</t>
    </r>
    <r>
      <rPr>
        <sz val="12"/>
        <color rgb="FF000000"/>
        <rFont val="Arial"/>
        <family val="2"/>
        <scheme val="minor"/>
      </rPr>
      <t xml:space="preserve">   Each Account ID matches an Account ID in the Comparative Trial Balances tab</t>
    </r>
  </si>
  <si>
    <r>
      <rPr>
        <b/>
        <sz val="12"/>
        <color rgb="FF000000"/>
        <rFont val="Arial"/>
        <family val="2"/>
        <scheme val="minor"/>
      </rPr>
      <t>1</t>
    </r>
    <r>
      <rPr>
        <sz val="12"/>
        <color rgb="FF000000"/>
        <rFont val="Arial"/>
        <family val="2"/>
        <scheme val="minor"/>
      </rPr>
      <t xml:space="preserve">   Prior Period Balance and Current Period Balance each sum to zero</t>
    </r>
  </si>
  <si>
    <r>
      <rPr>
        <b/>
        <sz val="12"/>
        <color rgb="FF000000"/>
        <rFont val="Arial"/>
        <family val="2"/>
        <scheme val="minor"/>
      </rPr>
      <t xml:space="preserve">1 </t>
    </r>
    <r>
      <rPr>
        <sz val="12"/>
        <color rgb="FF000000"/>
        <rFont val="Arial"/>
        <family val="2"/>
        <scheme val="minor"/>
      </rPr>
      <t xml:space="preserve">  Each journal entry nets to zero</t>
    </r>
  </si>
  <si>
    <r>
      <rPr>
        <b/>
        <sz val="12"/>
        <color rgb="FF000000"/>
        <rFont val="Arial"/>
        <family val="2"/>
        <scheme val="minor"/>
      </rPr>
      <t>2</t>
    </r>
    <r>
      <rPr>
        <sz val="12"/>
        <color rgb="FF000000"/>
        <rFont val="Arial"/>
        <family val="2"/>
        <scheme val="minor"/>
      </rPr>
      <t xml:space="preserve">   Each journal entry occurs on a single date</t>
    </r>
  </si>
  <si>
    <r>
      <rPr>
        <b/>
        <sz val="12"/>
        <color rgb="FF000000"/>
        <rFont val="Arial"/>
        <family val="2"/>
        <scheme val="minor"/>
      </rPr>
      <t>4</t>
    </r>
    <r>
      <rPr>
        <sz val="12"/>
        <color rgb="FF000000"/>
        <rFont val="Arial"/>
        <family val="2"/>
        <scheme val="minor"/>
      </rPr>
      <t xml:space="preserve">   Each journal entry has at least one debit and one credit</t>
    </r>
  </si>
  <si>
    <r>
      <rPr>
        <b/>
        <sz val="12"/>
        <color rgb="FF000000"/>
        <rFont val="Arial"/>
        <family val="2"/>
        <scheme val="minor"/>
      </rPr>
      <t>5</t>
    </r>
    <r>
      <rPr>
        <sz val="12"/>
        <color rgb="FF000000"/>
        <rFont val="Arial"/>
        <family val="2"/>
        <scheme val="minor"/>
      </rPr>
      <t xml:space="preserve">   All journal entries have posted dates within the same month as the accounting month</t>
    </r>
  </si>
  <si>
    <t>asset:nonCurrent:intangibles</t>
  </si>
  <si>
    <t>asset:nonCurrent:deposits</t>
  </si>
  <si>
    <t>expense:costOfGoodsSold:labor</t>
  </si>
  <si>
    <t>expense:costOfGoodsSold:materials</t>
  </si>
  <si>
    <t>expense:costOfGoodsSold:other</t>
  </si>
  <si>
    <t>expense:operating:rent</t>
  </si>
  <si>
    <t>expense:operating:bankAndCreditCardFees</t>
  </si>
  <si>
    <t>asset:current:prepaidExpenses</t>
  </si>
  <si>
    <t>expense:operating:advertisingAndMarketing</t>
  </si>
  <si>
    <t>expense:operating:legalAndProfessionalFees</t>
  </si>
  <si>
    <t>expense:operating:mealsAndEntertainment</t>
  </si>
  <si>
    <t>Account Number</t>
  </si>
  <si>
    <t>Description</t>
  </si>
  <si>
    <t>Amount</t>
  </si>
  <si>
    <t>Complete the Journal Entries &amp; Lines tab</t>
  </si>
  <si>
    <t>Complete the Comparative Trial Balance tab and mapping</t>
  </si>
  <si>
    <t>Complete the account mapping</t>
  </si>
  <si>
    <t>Obtain the journal entry detail from your client that matches the same period as the trial balance. Copy and paste the data into the template. Make sure that the spreadsheet is sorted by journal entry ID.</t>
  </si>
  <si>
    <t>If you are importing bank transactions, enter the bank account numbers and account names in the appropriate columns of the Banking Accts tab.</t>
  </si>
  <si>
    <r>
      <t xml:space="preserve">Congratulations on leveraging Audit Sight to optimize the speed, efficiency, and veracity of providing data critical to your client auditing process. See below for some quick reminders. </t>
    </r>
    <r>
      <rPr>
        <b/>
        <sz val="14"/>
        <color theme="1"/>
        <rFont val="Arial"/>
        <family val="2"/>
      </rPr>
      <t>Questions or concerns?</t>
    </r>
    <r>
      <rPr>
        <sz val="14"/>
        <color theme="1"/>
        <rFont val="Arial"/>
        <family val="2"/>
      </rPr>
      <t xml:space="preserve"> Please email support@auditsight.com and our Customer Success team will reply promptly. Thank you.</t>
    </r>
  </si>
  <si>
    <r>
      <rPr>
        <b/>
        <sz val="12"/>
        <color rgb="FF000000"/>
        <rFont val="Arial"/>
        <family val="2"/>
      </rPr>
      <t>Note:</t>
    </r>
    <r>
      <rPr>
        <sz val="12"/>
        <color rgb="FF000000"/>
        <rFont val="Arial"/>
        <family val="2"/>
      </rPr>
      <t xml:space="preserve"> All account numbers on the Banking Txn tab must match an account number on the Banking Accts tab.</t>
    </r>
  </si>
  <si>
    <r>
      <rPr>
        <b/>
        <sz val="12"/>
        <color rgb="FF000000"/>
        <rFont val="Arial"/>
        <family val="2"/>
      </rPr>
      <t>Note:</t>
    </r>
    <r>
      <rPr>
        <sz val="12"/>
        <color rgb="FF000000"/>
        <rFont val="Arial"/>
        <family val="2"/>
      </rPr>
      <t xml:space="preserve"> The Balance column is optional.</t>
    </r>
  </si>
  <si>
    <r>
      <rPr>
        <b/>
        <sz val="12"/>
        <color rgb="FFFF0000"/>
        <rFont val="Arial"/>
        <family val="2"/>
      </rPr>
      <t>(OPTIONAL)</t>
    </r>
    <r>
      <rPr>
        <b/>
        <sz val="12"/>
        <color theme="1"/>
        <rFont val="Arial"/>
        <family val="2"/>
      </rPr>
      <t xml:space="preserve"> Complete the Banking Accts tab</t>
    </r>
  </si>
  <si>
    <r>
      <rPr>
        <b/>
        <sz val="12"/>
        <color rgb="FFFF0000"/>
        <rFont val="Arial"/>
        <family val="2"/>
      </rPr>
      <t>(OPTIONAL)</t>
    </r>
    <r>
      <rPr>
        <b/>
        <sz val="12"/>
        <color theme="1"/>
        <rFont val="Arial"/>
        <family val="2"/>
      </rPr>
      <t xml:space="preserve"> Complete the Banking Txn tab</t>
    </r>
  </si>
  <si>
    <t>Banking Accts &amp; Banking Txn Tabs</t>
  </si>
  <si>
    <r>
      <t xml:space="preserve">1   </t>
    </r>
    <r>
      <rPr>
        <sz val="12"/>
        <color rgb="FF000000"/>
        <rFont val="Arial"/>
        <family val="2"/>
        <scheme val="minor"/>
      </rPr>
      <t>All account numbers on the Banking Txn tab are listed on the Banking Accts tab</t>
    </r>
  </si>
  <si>
    <r>
      <rPr>
        <b/>
        <sz val="12"/>
        <color rgb="FF000000"/>
        <rFont val="Arial"/>
        <family val="2"/>
        <scheme val="minor"/>
      </rPr>
      <t>2</t>
    </r>
    <r>
      <rPr>
        <sz val="12"/>
        <color rgb="FF000000"/>
        <rFont val="Arial"/>
        <family val="2"/>
        <scheme val="minor"/>
      </rPr>
      <t xml:space="preserve">   All transactions on the Banking Txn tab have descriptions (no blank descriptions)</t>
    </r>
  </si>
  <si>
    <t>The account ID (usually 4 digit code) used by the system to identify the account.</t>
  </si>
  <si>
    <t>Ending Balance</t>
  </si>
  <si>
    <t>The account balance at the beginning of the testing period.</t>
  </si>
  <si>
    <t>The account balance at the end of the testing period.</t>
  </si>
  <si>
    <t>The financial statement line item. See the Mapping Categories tab.</t>
  </si>
  <si>
    <t>The "accounting" date used by the system. This is not the date the data is entered in the system (i.e. created date).</t>
  </si>
  <si>
    <t xml:space="preserve">The ID associated with the account in the accounting system's Chart of Accounts. </t>
  </si>
  <si>
    <t xml:space="preserve">A single line item description in a Journal Entry that either increased or decreased an account balance. </t>
  </si>
  <si>
    <t>A transaction entry that either:
  - Increases an asset or expense account, or 
  - Decreases a liability or equity account.</t>
  </si>
  <si>
    <t xml:space="preserve">A transaction entry that either:
  - Increases a liability or equity account, or
  - Decreases an asset or expense account.  </t>
  </si>
  <si>
    <r>
      <rPr>
        <b/>
        <sz val="12"/>
        <color rgb="FF000000"/>
        <rFont val="Arial"/>
        <family val="2"/>
        <scheme val="minor"/>
      </rPr>
      <t xml:space="preserve">Enter the testing period start and end dates in the fields to the right. </t>
    </r>
    <r>
      <rPr>
        <sz val="12"/>
        <color rgb="FF000000"/>
        <rFont val="Arial"/>
        <family val="2"/>
        <scheme val="minor"/>
      </rPr>
      <t>Use the tests below to check that your data passes Audit Sight's data validations.</t>
    </r>
  </si>
  <si>
    <t>Beginning Balance (Prior Period Ending Balance)</t>
  </si>
  <si>
    <t>Beginning Balance 
(Prior Period Balance)</t>
  </si>
  <si>
    <r>
      <rPr>
        <b/>
        <sz val="12"/>
        <color rgb="FF000000"/>
        <rFont val="Arial"/>
        <family val="2"/>
      </rPr>
      <t>Note:</t>
    </r>
    <r>
      <rPr>
        <sz val="12"/>
        <color rgb="FF000000"/>
        <rFont val="Arial"/>
        <family val="2"/>
      </rPr>
      <t xml:space="preserve"> Include the </t>
    </r>
    <r>
      <rPr>
        <b/>
        <sz val="12"/>
        <color rgb="FF000000"/>
        <rFont val="Arial"/>
        <family val="2"/>
      </rPr>
      <t xml:space="preserve">full </t>
    </r>
    <r>
      <rPr>
        <sz val="12"/>
        <color rgb="FF000000"/>
        <rFont val="Arial"/>
        <family val="2"/>
      </rPr>
      <t>bank account number when importing bank accounts, not just the last 4 digits</t>
    </r>
  </si>
  <si>
    <t>If all equity accounts roll, it is likely there is a closing entry that needs to be removed.</t>
  </si>
  <si>
    <r>
      <t xml:space="preserve">Check the box to the right after removing. If retained earnings is </t>
    </r>
    <r>
      <rPr>
        <b/>
        <sz val="12"/>
        <color theme="1"/>
        <rFont val="Arial"/>
        <family val="2"/>
      </rPr>
      <t>not</t>
    </r>
    <r>
      <rPr>
        <sz val="12"/>
        <color theme="1"/>
        <rFont val="Arial"/>
        <family val="2"/>
      </rPr>
      <t xml:space="preserve"> rolling, proceed as usual.</t>
    </r>
  </si>
  <si>
    <r>
      <t xml:space="preserve">Edge Case </t>
    </r>
    <r>
      <rPr>
        <sz val="12"/>
        <color theme="1"/>
        <rFont val="Arial (Body)"/>
      </rPr>
      <t>- Some systems include closing entries to Retained Earnings (i.e. removing income statement balances.) These entries need to be removed from population.</t>
    </r>
  </si>
  <si>
    <t>Most Recent Fiscal Year End Date</t>
  </si>
  <si>
    <t>Warning some systems will do monthly or quarterly closing entries. If all income statement accounts' activity are zero per the ledger, check for these entries to be removed.</t>
  </si>
  <si>
    <r>
      <t xml:space="preserve">If yes, check for a closing entry  </t>
    </r>
    <r>
      <rPr>
        <sz val="12"/>
        <color theme="1"/>
        <rFont val="Arial"/>
        <family val="2"/>
      </rPr>
      <t>→                             Do journal entries span more than one fiscal year?</t>
    </r>
  </si>
  <si>
    <t>Notes</t>
  </si>
  <si>
    <t>Notes to Audit Sight team (please include any background or insight that would be helpful as we review and import the provided data):</t>
  </si>
  <si>
    <t>Considerations for international engagements:</t>
  </si>
  <si>
    <t>My default accounting currency is:</t>
  </si>
  <si>
    <t>USD</t>
  </si>
  <si>
    <t>The banking data provided is in:</t>
  </si>
  <si>
    <t>Currency</t>
  </si>
  <si>
    <t>5   The sums of the Debit and Credit columns are equal</t>
  </si>
  <si>
    <r>
      <rPr>
        <b/>
        <sz val="12"/>
        <color rgb="FF000000"/>
        <rFont val="Arial"/>
        <family val="2"/>
        <scheme val="minor"/>
      </rPr>
      <t>6</t>
    </r>
    <r>
      <rPr>
        <sz val="12"/>
        <color rgb="FF000000"/>
        <rFont val="Arial"/>
        <family val="2"/>
        <scheme val="minor"/>
      </rPr>
      <t xml:space="preserve">   No stray data after the last row of data in the tab</t>
    </r>
  </si>
  <si>
    <t>7   No stray data after the last column of the tab</t>
  </si>
  <si>
    <t>Institution</t>
  </si>
  <si>
    <t>2   All Account Types match one of the options on the Mapping Categories tab</t>
  </si>
  <si>
    <r>
      <t xml:space="preserve">3   </t>
    </r>
    <r>
      <rPr>
        <sz val="12"/>
        <color rgb="FF000000"/>
        <rFont val="Arial"/>
        <family val="2"/>
        <scheme val="minor"/>
      </rPr>
      <t>All Account Mappings have a matching Account Type</t>
    </r>
  </si>
  <si>
    <t>4   No stray data after the last row of data in the tab</t>
  </si>
  <si>
    <t>5   No stray data after the last column of the tab</t>
  </si>
  <si>
    <t>Banking Currency Code</t>
  </si>
  <si>
    <t>ADP</t>
  </si>
  <si>
    <t>AED</t>
  </si>
  <si>
    <t>AFA</t>
  </si>
  <si>
    <t>AFN</t>
  </si>
  <si>
    <t>ALK</t>
  </si>
  <si>
    <t>ALL</t>
  </si>
  <si>
    <t>AMD</t>
  </si>
  <si>
    <t>ANG</t>
  </si>
  <si>
    <t>AOA</t>
  </si>
  <si>
    <t>AOK</t>
  </si>
  <si>
    <t>AON</t>
  </si>
  <si>
    <t>AOR</t>
  </si>
  <si>
    <t>ARA</t>
  </si>
  <si>
    <t>ARP</t>
  </si>
  <si>
    <t>ARS</t>
  </si>
  <si>
    <t>ARY</t>
  </si>
  <si>
    <t>ATS</t>
  </si>
  <si>
    <t>AUD</t>
  </si>
  <si>
    <t>AWG</t>
  </si>
  <si>
    <t>AYM</t>
  </si>
  <si>
    <t>AZM</t>
  </si>
  <si>
    <t>AZN</t>
  </si>
  <si>
    <t>BAD</t>
  </si>
  <si>
    <t>BAM</t>
  </si>
  <si>
    <t>BBD</t>
  </si>
  <si>
    <t>BDT</t>
  </si>
  <si>
    <t>BEC</t>
  </si>
  <si>
    <t>BEF</t>
  </si>
  <si>
    <t>BEL</t>
  </si>
  <si>
    <t>BGJ</t>
  </si>
  <si>
    <t>BGK</t>
  </si>
  <si>
    <t>BGL</t>
  </si>
  <si>
    <t>BGN</t>
  </si>
  <si>
    <t>BHD</t>
  </si>
  <si>
    <t>BIF</t>
  </si>
  <si>
    <t>BMD</t>
  </si>
  <si>
    <t>BND</t>
  </si>
  <si>
    <t>BOB</t>
  </si>
  <si>
    <t>BOP</t>
  </si>
  <si>
    <t>BOV</t>
  </si>
  <si>
    <t>BRB</t>
  </si>
  <si>
    <t>BRC</t>
  </si>
  <si>
    <t>BRE</t>
  </si>
  <si>
    <t>BRL</t>
  </si>
  <si>
    <t>BRN</t>
  </si>
  <si>
    <t>BRR</t>
  </si>
  <si>
    <t>BSD</t>
  </si>
  <si>
    <t>BTN</t>
  </si>
  <si>
    <t>BUK</t>
  </si>
  <si>
    <t>BWP</t>
  </si>
  <si>
    <t>BYB</t>
  </si>
  <si>
    <t>BYN</t>
  </si>
  <si>
    <t>BYR</t>
  </si>
  <si>
    <t>BZD</t>
  </si>
  <si>
    <t>CAD</t>
  </si>
  <si>
    <t>CDF</t>
  </si>
  <si>
    <t>CHC</t>
  </si>
  <si>
    <t>CHE</t>
  </si>
  <si>
    <t>CHF</t>
  </si>
  <si>
    <t>CHW</t>
  </si>
  <si>
    <t>CLF</t>
  </si>
  <si>
    <t>CLP</t>
  </si>
  <si>
    <t>CNY</t>
  </si>
  <si>
    <t>COP</t>
  </si>
  <si>
    <t>COU</t>
  </si>
  <si>
    <t>CRC</t>
  </si>
  <si>
    <t>CSD</t>
  </si>
  <si>
    <t>CSJ</t>
  </si>
  <si>
    <t>CSK</t>
  </si>
  <si>
    <t>CUC</t>
  </si>
  <si>
    <t>CUP</t>
  </si>
  <si>
    <t>CVE</t>
  </si>
  <si>
    <t>CYP</t>
  </si>
  <si>
    <t>CZK</t>
  </si>
  <si>
    <t>DDM</t>
  </si>
  <si>
    <t>DEM</t>
  </si>
  <si>
    <t>DJF</t>
  </si>
  <si>
    <t>DKK</t>
  </si>
  <si>
    <t>DOP</t>
  </si>
  <si>
    <t>DZD</t>
  </si>
  <si>
    <t>ECS</t>
  </si>
  <si>
    <t>ECV</t>
  </si>
  <si>
    <t>EEK</t>
  </si>
  <si>
    <t>EGP</t>
  </si>
  <si>
    <t>ERN</t>
  </si>
  <si>
    <t>ESA</t>
  </si>
  <si>
    <t>ESB</t>
  </si>
  <si>
    <t>ESP</t>
  </si>
  <si>
    <t>ETB</t>
  </si>
  <si>
    <t>EUR</t>
  </si>
  <si>
    <t>FIM</t>
  </si>
  <si>
    <t>FJD</t>
  </si>
  <si>
    <t>FKP</t>
  </si>
  <si>
    <t>FRF</t>
  </si>
  <si>
    <t>GBP</t>
  </si>
  <si>
    <t>GEK</t>
  </si>
  <si>
    <t>GEL</t>
  </si>
  <si>
    <t>GHC</t>
  </si>
  <si>
    <t>GHP</t>
  </si>
  <si>
    <t>GHS</t>
  </si>
  <si>
    <t>GIP</t>
  </si>
  <si>
    <t>GMD</t>
  </si>
  <si>
    <t>GNE</t>
  </si>
  <si>
    <t>GNF</t>
  </si>
  <si>
    <t>GNS</t>
  </si>
  <si>
    <t>GQE</t>
  </si>
  <si>
    <t>GRD</t>
  </si>
  <si>
    <t>GTQ</t>
  </si>
  <si>
    <t>GWE</t>
  </si>
  <si>
    <t>GWP</t>
  </si>
  <si>
    <t>GYD</t>
  </si>
  <si>
    <t>HKD</t>
  </si>
  <si>
    <t>HNL</t>
  </si>
  <si>
    <t>HRD</t>
  </si>
  <si>
    <t>HRK</t>
  </si>
  <si>
    <t>HTG</t>
  </si>
  <si>
    <t>HUF</t>
  </si>
  <si>
    <t>IDR</t>
  </si>
  <si>
    <t>IEP</t>
  </si>
  <si>
    <t>ILP</t>
  </si>
  <si>
    <t>ILR</t>
  </si>
  <si>
    <t>ILS</t>
  </si>
  <si>
    <t>INR</t>
  </si>
  <si>
    <t>IQD</t>
  </si>
  <si>
    <t>IRR</t>
  </si>
  <si>
    <t>ISJ</t>
  </si>
  <si>
    <t>ISK</t>
  </si>
  <si>
    <t>ITL</t>
  </si>
  <si>
    <t>JMD</t>
  </si>
  <si>
    <t>JOD</t>
  </si>
  <si>
    <t>JPY</t>
  </si>
  <si>
    <t>KES</t>
  </si>
  <si>
    <t>KGS</t>
  </si>
  <si>
    <t>KHR</t>
  </si>
  <si>
    <t>KMF</t>
  </si>
  <si>
    <t>KPW</t>
  </si>
  <si>
    <t>KRW</t>
  </si>
  <si>
    <t>KWD</t>
  </si>
  <si>
    <t>KYD</t>
  </si>
  <si>
    <t>KZT</t>
  </si>
  <si>
    <t>LAJ</t>
  </si>
  <si>
    <t>LAK</t>
  </si>
  <si>
    <t>LBP</t>
  </si>
  <si>
    <t>LKR</t>
  </si>
  <si>
    <t>LRD</t>
  </si>
  <si>
    <t>LSL</t>
  </si>
  <si>
    <t>LSM</t>
  </si>
  <si>
    <t>LTL</t>
  </si>
  <si>
    <t>LTT</t>
  </si>
  <si>
    <t>LUC</t>
  </si>
  <si>
    <t>LUF</t>
  </si>
  <si>
    <t>LUL</t>
  </si>
  <si>
    <t>LVL</t>
  </si>
  <si>
    <t>LVR</t>
  </si>
  <si>
    <t>LYD</t>
  </si>
  <si>
    <t>MAD</t>
  </si>
  <si>
    <t>MDL</t>
  </si>
  <si>
    <t>MGA</t>
  </si>
  <si>
    <t>MGF</t>
  </si>
  <si>
    <t>MKD</t>
  </si>
  <si>
    <t>MLF</t>
  </si>
  <si>
    <t>MMK</t>
  </si>
  <si>
    <t>MNT</t>
  </si>
  <si>
    <t>MOP</t>
  </si>
  <si>
    <t>MRO</t>
  </si>
  <si>
    <t>MRU</t>
  </si>
  <si>
    <t>MTL</t>
  </si>
  <si>
    <t>MTP</t>
  </si>
  <si>
    <t>MUR</t>
  </si>
  <si>
    <t>MVQ</t>
  </si>
  <si>
    <t>MVR</t>
  </si>
  <si>
    <t>MWK</t>
  </si>
  <si>
    <t>MXN</t>
  </si>
  <si>
    <t>MXP</t>
  </si>
  <si>
    <t>MXV</t>
  </si>
  <si>
    <t>MYR</t>
  </si>
  <si>
    <t>MZE</t>
  </si>
  <si>
    <t>MZM</t>
  </si>
  <si>
    <t>MZN</t>
  </si>
  <si>
    <t>NAD</t>
  </si>
  <si>
    <t>NGN</t>
  </si>
  <si>
    <t>NIC</t>
  </si>
  <si>
    <t>NIO</t>
  </si>
  <si>
    <t>NLG</t>
  </si>
  <si>
    <t>NOK</t>
  </si>
  <si>
    <t>NPR</t>
  </si>
  <si>
    <t>NZD</t>
  </si>
  <si>
    <t>OMR</t>
  </si>
  <si>
    <t>PAB</t>
  </si>
  <si>
    <t>PEH</t>
  </si>
  <si>
    <t>PEI</t>
  </si>
  <si>
    <t>PEN</t>
  </si>
  <si>
    <t>PES</t>
  </si>
  <si>
    <t>PGK</t>
  </si>
  <si>
    <t>PHP</t>
  </si>
  <si>
    <t>PKR</t>
  </si>
  <si>
    <t>PLN</t>
  </si>
  <si>
    <t>PLZ</t>
  </si>
  <si>
    <t>PTE</t>
  </si>
  <si>
    <t>PYG</t>
  </si>
  <si>
    <t>QAR</t>
  </si>
  <si>
    <t>RHD</t>
  </si>
  <si>
    <t>ROK</t>
  </si>
  <si>
    <t>ROL</t>
  </si>
  <si>
    <t>RON</t>
  </si>
  <si>
    <t>RSD</t>
  </si>
  <si>
    <t>RUB</t>
  </si>
  <si>
    <t>RUR</t>
  </si>
  <si>
    <t>RWF</t>
  </si>
  <si>
    <t>SAR</t>
  </si>
  <si>
    <t>SBD</t>
  </si>
  <si>
    <t>SCR</t>
  </si>
  <si>
    <t>SDD</t>
  </si>
  <si>
    <t>SDG</t>
  </si>
  <si>
    <t>SDP</t>
  </si>
  <si>
    <t>SEK</t>
  </si>
  <si>
    <t>SGD</t>
  </si>
  <si>
    <t>SHP</t>
  </si>
  <si>
    <t>SIT</t>
  </si>
  <si>
    <t>SKK</t>
  </si>
  <si>
    <t>SLL</t>
  </si>
  <si>
    <t>SOS</t>
  </si>
  <si>
    <t>SRD</t>
  </si>
  <si>
    <t>SRG</t>
  </si>
  <si>
    <t>SSP</t>
  </si>
  <si>
    <t>STD</t>
  </si>
  <si>
    <t>STN</t>
  </si>
  <si>
    <t>SUR</t>
  </si>
  <si>
    <t>SVC</t>
  </si>
  <si>
    <t>SYP</t>
  </si>
  <si>
    <t>SZL</t>
  </si>
  <si>
    <t>THB</t>
  </si>
  <si>
    <t>TJR</t>
  </si>
  <si>
    <t>TJS</t>
  </si>
  <si>
    <t>TMM</t>
  </si>
  <si>
    <t>TMT</t>
  </si>
  <si>
    <t>TND</t>
  </si>
  <si>
    <t>TOP</t>
  </si>
  <si>
    <t>TPE</t>
  </si>
  <si>
    <t>TRL</t>
  </si>
  <si>
    <t>TRY</t>
  </si>
  <si>
    <t>TTD</t>
  </si>
  <si>
    <t>TWD</t>
  </si>
  <si>
    <t>TZS</t>
  </si>
  <si>
    <t>UAH</t>
  </si>
  <si>
    <t>UAK</t>
  </si>
  <si>
    <t>UGS</t>
  </si>
  <si>
    <t>UGW</t>
  </si>
  <si>
    <t>UGX</t>
  </si>
  <si>
    <t>USN</t>
  </si>
  <si>
    <t>USS</t>
  </si>
  <si>
    <t>UYI</t>
  </si>
  <si>
    <t>UYN</t>
  </si>
  <si>
    <t>UYP</t>
  </si>
  <si>
    <t>UYU</t>
  </si>
  <si>
    <t>UYW</t>
  </si>
  <si>
    <t>UZS</t>
  </si>
  <si>
    <t>VEB</t>
  </si>
  <si>
    <t>VEF</t>
  </si>
  <si>
    <t>VES</t>
  </si>
  <si>
    <t>VNC</t>
  </si>
  <si>
    <t>VND</t>
  </si>
  <si>
    <t>VUV</t>
  </si>
  <si>
    <t>WST</t>
  </si>
  <si>
    <t>XAF</t>
  </si>
  <si>
    <t>XAG</t>
  </si>
  <si>
    <t>XAU</t>
  </si>
  <si>
    <t>XBA</t>
  </si>
  <si>
    <t>XBB</t>
  </si>
  <si>
    <t>XBC</t>
  </si>
  <si>
    <t>XBD</t>
  </si>
  <si>
    <t>XCD</t>
  </si>
  <si>
    <t>XDR</t>
  </si>
  <si>
    <t>XEU</t>
  </si>
  <si>
    <t>XFO</t>
  </si>
  <si>
    <t>XFU</t>
  </si>
  <si>
    <t>XOF</t>
  </si>
  <si>
    <t>XPD</t>
  </si>
  <si>
    <t>XPF</t>
  </si>
  <si>
    <t>XPT</t>
  </si>
  <si>
    <t>XRE</t>
  </si>
  <si>
    <t>XSU</t>
  </si>
  <si>
    <t>XTS</t>
  </si>
  <si>
    <t>XUA</t>
  </si>
  <si>
    <t>XXX</t>
  </si>
  <si>
    <t>YDD</t>
  </si>
  <si>
    <t>YER</t>
  </si>
  <si>
    <t>YUD</t>
  </si>
  <si>
    <t>YUM</t>
  </si>
  <si>
    <t>YUN</t>
  </si>
  <si>
    <t>ZAL</t>
  </si>
  <si>
    <t>ZAR</t>
  </si>
  <si>
    <t>ZMK</t>
  </si>
  <si>
    <t>ZMW</t>
  </si>
  <si>
    <t>ZRN</t>
  </si>
  <si>
    <t>ZRZ</t>
  </si>
  <si>
    <t>ZWC</t>
  </si>
  <si>
    <t>ZWD</t>
  </si>
  <si>
    <t>ZWL</t>
  </si>
  <si>
    <t>ZWN</t>
  </si>
  <si>
    <t>ZWR</t>
  </si>
  <si>
    <t xml:space="preserve">Once you have a comparative trial balance from your client, start populating the Comparative Trial Balance tab. After pasting the data in from your client, you must complete the account mapping. </t>
  </si>
  <si>
    <t>If you are importing bank transactions, enter the bank transaction dates, descriptions, amounts, and account numbers into the appropriate columns of the Banking Txn tab.</t>
  </si>
  <si>
    <t>Audit Sight Data Validations Tests</t>
  </si>
  <si>
    <t>Large Data Journal Entry Data Sets</t>
  </si>
  <si>
    <t xml:space="preserve">For each account on the trial balance, you will need to provide the type (Asset, Liability, Equity, Income, Expense).  Optionally, you can map the accounts to financial statement categories. If blank, our solution will AutoMap all the accounts on import. </t>
  </si>
  <si>
    <t>To ensure your data is ready to import review the Data Validation Tests. If any of these tests are failing, you can still upload the data. Our data conversion services team can review the file and correct any mistakes under our service arrangement.</t>
  </si>
  <si>
    <t>The name of the account (i.e. Accounts Receivable)</t>
  </si>
  <si>
    <t>If the journal entry data will not fit in a single tab, multiple tabs can be created to populate the data. If the data is still to large to upload, upload the data via our data conversion services import option where multiple files can be attached.</t>
  </si>
  <si>
    <t>Account Mapping (optional)</t>
  </si>
  <si>
    <t>Journal Line Description (optional)</t>
  </si>
  <si>
    <t>Journal Entry Description (optional)</t>
  </si>
  <si>
    <t>liability:current:creditCardPayable</t>
  </si>
  <si>
    <t>liability:current:payrollLiability</t>
  </si>
  <si>
    <t>equity:netIncome</t>
  </si>
  <si>
    <t>expense:operating:office</t>
  </si>
  <si>
    <t>expense:operating:payroll</t>
  </si>
  <si>
    <t>expense:operating:software</t>
  </si>
  <si>
    <t>expense:operating:travel</t>
  </si>
  <si>
    <t>expense:operating:other</t>
  </si>
  <si>
    <t xml:space="preserve">Do not change tab names, change tab order, add extra tabs,  hide tabs, add columns, or delete columns.
</t>
  </si>
  <si>
    <t>asset:current:accountsReceivable:allowanceforDoubtfulAccounts</t>
  </si>
  <si>
    <t>asset:nonCurrent:goodwill</t>
  </si>
  <si>
    <t>asset:nonCurrent:interCompany</t>
  </si>
  <si>
    <t>liability:noncurrent:interCompany</t>
  </si>
  <si>
    <t>liability:noncurrent:tax</t>
  </si>
  <si>
    <t>liability:current:other:customerDeposits</t>
  </si>
  <si>
    <t>liability:current:debt</t>
  </si>
  <si>
    <t xml:space="preserve"> </t>
  </si>
  <si>
    <t>asset:current:undepositedFunds</t>
  </si>
  <si>
    <t>asset:current:cashDepositsandInvestments</t>
  </si>
  <si>
    <t>asset:current:inventory</t>
  </si>
  <si>
    <t>asset:current:investments</t>
  </si>
  <si>
    <t>liability:current:other:accrued</t>
  </si>
  <si>
    <t>asset:nonCurrent:fixed</t>
  </si>
  <si>
    <t>liability:current:other:billingsInExcessOfCost</t>
  </si>
  <si>
    <t>asset:current:cashNonBankAccounts</t>
  </si>
  <si>
    <t>Updated 4/29/2025</t>
  </si>
  <si>
    <t>TB and Journal Entries Import</t>
  </si>
  <si>
    <t>asset:current:interCompany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</si>
</sst>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1"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font>
    <font>
      <sz val="11"/>
      <color theme="1"/>
      <name val="Arial"/>
      <family val="2"/>
    </font>
    <font>
      <b/>
      <sz val="20"/>
      <color rgb="FF000000"/>
      <name val="Arial"/>
      <family val="2"/>
    </font>
    <font>
      <b/>
      <sz val="11"/>
      <color rgb="FF0C5ADB"/>
      <name val="Arial"/>
      <family val="2"/>
    </font>
    <font>
      <b/>
      <sz val="20"/>
      <color theme="1"/>
      <name val="Arial"/>
      <family val="2"/>
    </font>
    <font>
      <sz val="10"/>
      <name val="Arial"/>
      <family val="2"/>
    </font>
    <font>
      <sz val="12"/>
      <color theme="0"/>
      <name val="Arial"/>
      <family val="2"/>
    </font>
    <font>
      <sz val="14"/>
      <color theme="1"/>
      <name val="Arial"/>
      <family val="2"/>
    </font>
    <font>
      <sz val="14"/>
      <color rgb="FF000000"/>
      <name val="Arial"/>
      <family val="2"/>
    </font>
    <font>
      <b/>
      <sz val="14"/>
      <color theme="1"/>
      <name val="Arial"/>
      <family val="2"/>
    </font>
    <font>
      <sz val="10"/>
      <color rgb="FF000000"/>
      <name val="Arial"/>
      <family val="2"/>
    </font>
    <font>
      <b/>
      <sz val="12"/>
      <color theme="1"/>
      <name val="Arial"/>
      <family val="2"/>
    </font>
    <font>
      <b/>
      <sz val="12"/>
      <color rgb="FFFF0000"/>
      <name val="Arial"/>
      <family val="2"/>
    </font>
    <font>
      <b/>
      <sz val="11"/>
      <color rgb="FFF3F3F3"/>
      <name val="Arial"/>
      <family val="2"/>
    </font>
    <font>
      <sz val="14"/>
      <color theme="0"/>
      <name val="Arial"/>
      <family val="2"/>
    </font>
    <font>
      <sz val="12"/>
      <color rgb="FF1155CC"/>
      <name val="Arial"/>
      <family val="2"/>
    </font>
    <font>
      <b/>
      <sz val="12"/>
      <color rgb="FFFFFFFF"/>
      <name val="Arial"/>
      <family val="2"/>
    </font>
    <font>
      <sz val="11"/>
      <color theme="1"/>
      <name val="Calibri"/>
      <family val="2"/>
    </font>
    <font>
      <sz val="10"/>
      <color rgb="FF000000"/>
      <name val="Arial"/>
      <family val="2"/>
      <scheme val="minor"/>
    </font>
    <font>
      <b/>
      <sz val="12"/>
      <color theme="0"/>
      <name val="Arial"/>
      <family val="2"/>
      <scheme val="minor"/>
    </font>
    <font>
      <sz val="12"/>
      <color theme="0"/>
      <name val="Arial"/>
      <family val="2"/>
      <scheme val="minor"/>
    </font>
    <font>
      <sz val="12"/>
      <color rgb="FF000000"/>
      <name val="Arial"/>
      <family val="2"/>
      <scheme val="minor"/>
    </font>
    <font>
      <b/>
      <sz val="12"/>
      <color rgb="FF000000"/>
      <name val="Arial"/>
      <family val="2"/>
      <scheme val="minor"/>
    </font>
    <font>
      <b/>
      <sz val="20"/>
      <color rgb="FF000000"/>
      <name val="Arial"/>
      <family val="2"/>
      <scheme val="minor"/>
    </font>
    <font>
      <b/>
      <sz val="10"/>
      <color rgb="FF000000"/>
      <name val="Arial"/>
      <family val="2"/>
      <scheme val="minor"/>
    </font>
    <font>
      <sz val="8"/>
      <name val="Arial"/>
      <family val="2"/>
      <scheme val="minor"/>
    </font>
    <font>
      <sz val="12"/>
      <color rgb="FF0432FF"/>
      <name val="Arial"/>
      <family val="2"/>
      <scheme val="minor"/>
    </font>
    <font>
      <b/>
      <sz val="12"/>
      <color rgb="FF000000"/>
      <name val="Arial"/>
      <family val="2"/>
    </font>
    <font>
      <b/>
      <sz val="10"/>
      <color theme="1"/>
      <name val="Arial"/>
      <family val="2"/>
      <scheme val="minor"/>
    </font>
    <font>
      <b/>
      <sz val="14"/>
      <color rgb="FF000000"/>
      <name val="Arial"/>
      <family val="2"/>
      <scheme val="minor"/>
    </font>
    <font>
      <sz val="12"/>
      <color rgb="FF34A853"/>
      <name val="Arial"/>
      <family val="2"/>
      <scheme val="minor"/>
    </font>
    <font>
      <b/>
      <sz val="10"/>
      <color theme="3"/>
      <name val="Arial"/>
      <family val="2"/>
      <scheme val="minor"/>
    </font>
    <font>
      <sz val="12"/>
      <color rgb="FF000000"/>
      <name val="Arial"/>
      <family val="2"/>
    </font>
    <font>
      <sz val="10"/>
      <color rgb="FF000000"/>
      <name val="Tahoma"/>
      <family val="2"/>
    </font>
    <font>
      <b/>
      <sz val="10"/>
      <color rgb="FF000000"/>
      <name val="Tahoma"/>
      <family val="2"/>
    </font>
    <font>
      <b/>
      <sz val="12"/>
      <color theme="0"/>
      <name val="Arial"/>
      <family val="2"/>
    </font>
    <font>
      <sz val="12"/>
      <color theme="1"/>
      <name val="Arial (Body)"/>
    </font>
    <font>
      <b/>
      <sz val="10"/>
      <color theme="1"/>
      <name val="Arial (Body)"/>
    </font>
    <font>
      <b/>
      <sz val="12"/>
      <color theme="1"/>
      <name val="Arial (Body)"/>
    </font>
    <font>
      <sz val="12"/>
      <color rgb="FF000000"/>
      <name val="Arial (Body)"/>
    </font>
    <font>
      <b/>
      <sz val="12"/>
      <color rgb="FFFF0000"/>
      <name val="Arial"/>
      <family val="2"/>
      <scheme val="minor"/>
    </font>
    <font>
      <b/>
      <sz val="12"/>
      <color rgb="FFFF0000"/>
      <name val="Arial (Body)"/>
    </font>
    <font>
      <b/>
      <sz val="12"/>
      <color rgb="FF000000"/>
      <name val="Arial (Body)"/>
    </font>
    <font>
      <sz val="18"/>
      <color rgb="FF000000"/>
      <name val="Arial"/>
      <family val="2"/>
      <scheme val="minor"/>
    </font>
    <font>
      <b/>
      <sz val="10"/>
      <color rgb="FF000000"/>
      <name val="Arial"/>
      <family val="2"/>
    </font>
    <font>
      <sz val="11"/>
      <name val="Calibri"/>
      <family val="2"/>
    </font>
  </fonts>
  <fills count="15">
    <fill>
      <patternFill patternType="none"/>
    </fill>
    <fill>
      <patternFill patternType="gray125"/>
    </fill>
    <fill>
      <patternFill patternType="solid">
        <fgColor rgb="FF002060"/>
        <bgColor rgb="FF002060"/>
      </patternFill>
    </fill>
    <fill>
      <patternFill patternType="solid">
        <fgColor rgb="FFD8D8D8"/>
        <bgColor rgb="FFD8D8D8"/>
      </patternFill>
    </fill>
    <fill>
      <patternFill patternType="solid">
        <fgColor rgb="FFFFFFFF"/>
        <bgColor rgb="FFFFFFFF"/>
      </patternFill>
    </fill>
    <fill>
      <patternFill patternType="solid">
        <fgColor rgb="FF0070C0"/>
        <bgColor rgb="FF0070C0"/>
      </patternFill>
    </fill>
    <fill>
      <patternFill patternType="solid">
        <fgColor rgb="FF999999"/>
        <bgColor rgb="FF999999"/>
      </patternFill>
    </fill>
    <fill>
      <patternFill patternType="solid">
        <fgColor rgb="FF002060"/>
        <bgColor indexed="64"/>
      </patternFill>
    </fill>
    <fill>
      <patternFill patternType="solid">
        <fgColor rgb="FFD8D8D8"/>
        <bgColor indexed="64"/>
      </patternFill>
    </fill>
    <fill>
      <patternFill patternType="solid">
        <fgColor theme="0"/>
        <bgColor indexed="64"/>
      </patternFill>
    </fill>
    <fill>
      <patternFill patternType="solid">
        <fgColor theme="0"/>
        <bgColor rgb="FFFFFFFF"/>
      </patternFill>
    </fill>
    <fill>
      <patternFill patternType="solid">
        <fgColor rgb="FFF9FBFF"/>
        <bgColor indexed="64"/>
      </patternFill>
    </fill>
    <fill>
      <patternFill patternType="solid">
        <fgColor rgb="FFFFFF00"/>
        <bgColor indexed="64"/>
      </patternFill>
    </fill>
    <fill>
      <patternFill patternType="solid">
        <fgColor rgb="FFE4F1FF"/>
        <bgColor indexed="64"/>
      </patternFill>
    </fill>
    <fill>
      <patternFill patternType="solid">
        <fgColor theme="0" tint="-0.14999847407452621"/>
        <bgColor indexed="64"/>
      </patternFill>
    </fill>
  </fills>
  <borders count="84">
    <border>
      <left/>
      <right/>
      <top/>
      <bottom/>
      <diagonal/>
    </border>
    <border>
      <left style="thin">
        <color rgb="FFA5A5A5"/>
      </left>
      <right/>
      <top style="thin">
        <color rgb="FFA5A5A5"/>
      </top>
      <bottom/>
      <diagonal/>
    </border>
    <border>
      <left/>
      <right/>
      <top/>
      <bottom/>
      <diagonal/>
    </border>
    <border>
      <left/>
      <right style="thin">
        <color rgb="FFA5A5A5"/>
      </right>
      <top/>
      <bottom/>
      <diagonal/>
    </border>
    <border>
      <left style="thin">
        <color rgb="FFA5A5A5"/>
      </left>
      <right/>
      <top/>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right style="thin">
        <color rgb="FFA5A5A5"/>
      </right>
      <top/>
      <bottom/>
      <diagonal/>
    </border>
    <border>
      <left/>
      <right/>
      <top/>
      <bottom style="thin">
        <color rgb="FFA5A5A5"/>
      </bottom>
      <diagonal/>
    </border>
    <border>
      <left/>
      <right style="thin">
        <color rgb="FFA5A5A5"/>
      </right>
      <top/>
      <bottom style="thin">
        <color rgb="FFA5A5A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style="thin">
        <color rgb="FFA5A5A5"/>
      </bottom>
      <diagonal/>
    </border>
    <border>
      <left/>
      <right/>
      <top style="thin">
        <color rgb="FFA5A5A5"/>
      </top>
      <bottom style="thin">
        <color rgb="FFA5A5A5"/>
      </bottom>
      <diagonal/>
    </border>
    <border>
      <left/>
      <right style="thin">
        <color rgb="FFA5A5A5"/>
      </right>
      <top/>
      <bottom style="thin">
        <color rgb="FFA5A5A5"/>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theme="2" tint="-0.34998626667073579"/>
      </bottom>
      <diagonal/>
    </border>
    <border>
      <left style="thin">
        <color theme="2" tint="-0.34998626667073579"/>
      </left>
      <right/>
      <top/>
      <bottom/>
      <diagonal/>
    </border>
    <border>
      <left style="thin">
        <color theme="2" tint="-0.34998626667073579"/>
      </left>
      <right/>
      <top style="thin">
        <color theme="2" tint="-0.34998626667073579"/>
      </top>
      <bottom/>
      <diagonal/>
    </border>
    <border>
      <left/>
      <right/>
      <top style="thin">
        <color theme="2" tint="-0.34998626667073579"/>
      </top>
      <bottom/>
      <diagonal/>
    </border>
    <border>
      <left/>
      <right style="thin">
        <color theme="2" tint="-0.34998626667073579"/>
      </right>
      <top style="thin">
        <color theme="2" tint="-0.34998626667073579"/>
      </top>
      <bottom/>
      <diagonal/>
    </border>
    <border>
      <left/>
      <right style="thin">
        <color theme="2" tint="-0.34998626667073579"/>
      </right>
      <top/>
      <bottom/>
      <diagonal/>
    </border>
    <border>
      <left style="thin">
        <color theme="2" tint="-0.34998626667073579"/>
      </left>
      <right/>
      <top/>
      <bottom style="thin">
        <color theme="2" tint="-0.34998626667073579"/>
      </bottom>
      <diagonal/>
    </border>
    <border>
      <left/>
      <right style="thin">
        <color theme="2" tint="-0.34998626667073579"/>
      </right>
      <top/>
      <bottom style="thin">
        <color theme="2" tint="-0.34998626667073579"/>
      </bottom>
      <diagonal/>
    </border>
    <border>
      <left/>
      <right style="thin">
        <color theme="2" tint="-0.34998626667073579"/>
      </right>
      <top/>
      <bottom style="dashed">
        <color theme="2" tint="-0.14999847407452621"/>
      </bottom>
      <diagonal/>
    </border>
    <border>
      <left/>
      <right/>
      <top/>
      <bottom style="dashed">
        <color theme="2" tint="-0.14999847407452621"/>
      </bottom>
      <diagonal/>
    </border>
    <border>
      <left/>
      <right style="thin">
        <color theme="2" tint="-0.14999847407452621"/>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right/>
      <top style="thin">
        <color theme="2" tint="-0.14999847407452621"/>
      </top>
      <bottom style="dashed">
        <color theme="2" tint="-0.14999847407452621"/>
      </bottom>
      <diagonal/>
    </border>
    <border>
      <left style="thin">
        <color theme="2" tint="-0.34998626667073579"/>
      </left>
      <right/>
      <top style="dashed">
        <color theme="2" tint="-0.14999847407452621"/>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theme="2" tint="-0.34998626667073579"/>
      </left>
      <right style="thin">
        <color theme="2" tint="-0.34998626667073579"/>
      </right>
      <top/>
      <bottom/>
      <diagonal/>
    </border>
    <border>
      <left style="thin">
        <color theme="0" tint="-0.34998626667073579"/>
      </left>
      <right/>
      <top/>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right/>
      <top style="thin">
        <color theme="2" tint="-0.34998626667073579"/>
      </top>
      <bottom style="thin">
        <color theme="0" tint="-0.34998626667073579"/>
      </bottom>
      <diagonal/>
    </border>
    <border>
      <left style="hair">
        <color rgb="FF002060"/>
      </left>
      <right/>
      <top style="hair">
        <color rgb="FF002060"/>
      </top>
      <bottom/>
      <diagonal/>
    </border>
    <border>
      <left/>
      <right/>
      <top style="hair">
        <color rgb="FF002060"/>
      </top>
      <bottom/>
      <diagonal/>
    </border>
    <border>
      <left/>
      <right style="hair">
        <color rgb="FF002060"/>
      </right>
      <top style="hair">
        <color rgb="FF002060"/>
      </top>
      <bottom/>
      <diagonal/>
    </border>
    <border>
      <left style="hair">
        <color rgb="FF002060"/>
      </left>
      <right/>
      <top/>
      <bottom/>
      <diagonal/>
    </border>
    <border>
      <left/>
      <right style="hair">
        <color rgb="FF002060"/>
      </right>
      <top/>
      <bottom/>
      <diagonal/>
    </border>
    <border>
      <left style="hair">
        <color rgb="FF002060"/>
      </left>
      <right/>
      <top/>
      <bottom style="hair">
        <color rgb="FF002060"/>
      </bottom>
      <diagonal/>
    </border>
    <border>
      <left/>
      <right/>
      <top/>
      <bottom style="hair">
        <color rgb="FF002060"/>
      </bottom>
      <diagonal/>
    </border>
    <border>
      <left/>
      <right style="hair">
        <color rgb="FF002060"/>
      </right>
      <top/>
      <bottom style="hair">
        <color rgb="FF002060"/>
      </bottom>
      <diagonal/>
    </border>
    <border>
      <left/>
      <right style="thin">
        <color theme="0" tint="-0.34998626667073579"/>
      </right>
      <top/>
      <bottom/>
      <diagonal/>
    </border>
    <border>
      <left/>
      <right/>
      <top style="thin">
        <color theme="0" tint="-0.34998626667073579"/>
      </top>
      <bottom style="medium">
        <color theme="1"/>
      </bottom>
      <diagonal/>
    </border>
    <border>
      <left/>
      <right style="thin">
        <color theme="0" tint="-0.34998626667073579"/>
      </right>
      <top style="thin">
        <color theme="0" tint="-0.34998626667073579"/>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style="medium">
        <color theme="1"/>
      </bottom>
      <diagonal/>
    </border>
    <border>
      <left style="thin">
        <color theme="0" tint="-0.34998626667073579"/>
      </left>
      <right/>
      <top/>
      <bottom style="thin">
        <color theme="0" tint="-0.34998626667073579"/>
      </bottom>
      <diagonal/>
    </border>
    <border>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right style="medium">
        <color indexed="64"/>
      </right>
      <top style="medium">
        <color indexed="64"/>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rgb="FF000000"/>
      </bottom>
      <diagonal/>
    </border>
    <border>
      <left/>
      <right/>
      <top style="medium">
        <color indexed="64"/>
      </top>
      <bottom/>
      <diagonal/>
    </border>
    <border>
      <left/>
      <right style="thick">
        <color indexed="0"/>
      </right>
      <top/>
      <bottom/>
      <diagonal/>
    </border>
  </borders>
  <cellStyleXfs count="2">
    <xf numFmtId="0" fontId="0" fillId="0" borderId="0"/>
    <xf numFmtId="0" fontId="23" fillId="0" borderId="22"/>
  </cellStyleXfs>
  <cellXfs count="285">
    <xf numFmtId="0" fontId="0" fillId="0" borderId="0" xfId="0"/>
    <xf numFmtId="0" fontId="5" fillId="2" borderId="1" xfId="0"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0" fontId="6" fillId="3" borderId="2" xfId="0" applyFont="1" applyFill="1" applyBorder="1" applyAlignment="1">
      <alignment horizontal="left" vertical="top"/>
    </xf>
    <xf numFmtId="0" fontId="8" fillId="3" borderId="2" xfId="0" applyFont="1" applyFill="1" applyBorder="1" applyAlignment="1">
      <alignment horizontal="right" vertical="center"/>
    </xf>
    <xf numFmtId="0" fontId="5" fillId="2" borderId="4" xfId="0" applyFont="1" applyFill="1" applyBorder="1" applyAlignment="1">
      <alignment horizontal="center" vertical="top"/>
    </xf>
    <xf numFmtId="0" fontId="11" fillId="2" borderId="4" xfId="0" applyFont="1" applyFill="1" applyBorder="1" applyAlignment="1">
      <alignment horizontal="center"/>
    </xf>
    <xf numFmtId="0" fontId="5" fillId="3" borderId="3" xfId="0" applyFont="1" applyFill="1" applyBorder="1"/>
    <xf numFmtId="0" fontId="5" fillId="2" borderId="4" xfId="0" applyFont="1" applyFill="1" applyBorder="1"/>
    <xf numFmtId="0" fontId="19" fillId="2" borderId="4" xfId="0" applyFont="1" applyFill="1" applyBorder="1" applyAlignment="1">
      <alignment horizontal="center"/>
    </xf>
    <xf numFmtId="0" fontId="12" fillId="3" borderId="3" xfId="0" applyFont="1" applyFill="1" applyBorder="1"/>
    <xf numFmtId="0" fontId="5" fillId="3" borderId="23" xfId="0" applyFont="1" applyFill="1" applyBorder="1"/>
    <xf numFmtId="0" fontId="5" fillId="3" borderId="24" xfId="0" applyFont="1" applyFill="1" applyBorder="1" applyAlignment="1">
      <alignment wrapText="1"/>
    </xf>
    <xf numFmtId="0" fontId="5" fillId="3" borderId="25" xfId="0" applyFont="1" applyFill="1" applyBorder="1"/>
    <xf numFmtId="0" fontId="21" fillId="5" borderId="27" xfId="0" applyFont="1" applyFill="1" applyBorder="1" applyAlignment="1">
      <alignment horizontal="center"/>
    </xf>
    <xf numFmtId="0" fontId="21" fillId="5" borderId="14" xfId="0" applyFont="1" applyFill="1" applyBorder="1" applyAlignment="1">
      <alignment horizontal="center"/>
    </xf>
    <xf numFmtId="0" fontId="21" fillId="6" borderId="14" xfId="0" applyFont="1" applyFill="1" applyBorder="1" applyAlignment="1">
      <alignment horizontal="center"/>
    </xf>
    <xf numFmtId="0" fontId="21" fillId="2" borderId="26" xfId="0" applyFont="1" applyFill="1" applyBorder="1" applyAlignment="1">
      <alignment horizontal="center"/>
    </xf>
    <xf numFmtId="0" fontId="21" fillId="2" borderId="13" xfId="0" applyFont="1" applyFill="1" applyBorder="1" applyAlignment="1">
      <alignment horizontal="center"/>
    </xf>
    <xf numFmtId="0" fontId="23" fillId="0" borderId="0" xfId="0" applyFont="1"/>
    <xf numFmtId="0" fontId="26" fillId="9" borderId="0" xfId="0" applyFont="1" applyFill="1"/>
    <xf numFmtId="0" fontId="27" fillId="9" borderId="0" xfId="0" applyFont="1" applyFill="1" applyAlignment="1">
      <alignment horizontal="center"/>
    </xf>
    <xf numFmtId="0" fontId="23" fillId="0" borderId="22" xfId="0" applyFont="1" applyBorder="1"/>
    <xf numFmtId="0" fontId="26" fillId="9" borderId="22" xfId="0" applyFont="1" applyFill="1" applyBorder="1" applyAlignment="1">
      <alignment vertical="center"/>
    </xf>
    <xf numFmtId="0" fontId="27" fillId="9" borderId="22" xfId="0" applyFont="1" applyFill="1" applyBorder="1" applyAlignment="1">
      <alignment horizontal="center" vertical="center"/>
    </xf>
    <xf numFmtId="0" fontId="25" fillId="9" borderId="22" xfId="0" applyFont="1" applyFill="1" applyBorder="1" applyAlignment="1">
      <alignment vertical="center"/>
    </xf>
    <xf numFmtId="0" fontId="24" fillId="9" borderId="22" xfId="0" applyFont="1" applyFill="1" applyBorder="1" applyAlignment="1">
      <alignment horizontal="center" vertical="center"/>
    </xf>
    <xf numFmtId="0" fontId="26" fillId="9" borderId="0" xfId="0" applyFont="1" applyFill="1" applyAlignment="1">
      <alignment horizontal="left" indent="1"/>
    </xf>
    <xf numFmtId="0" fontId="27" fillId="9" borderId="22" xfId="0" applyFont="1" applyFill="1" applyBorder="1" applyAlignment="1">
      <alignment vertical="center"/>
    </xf>
    <xf numFmtId="0" fontId="26" fillId="9" borderId="22" xfId="0" applyFont="1" applyFill="1" applyBorder="1"/>
    <xf numFmtId="44" fontId="0" fillId="0" borderId="0" xfId="0" applyNumberFormat="1"/>
    <xf numFmtId="0" fontId="15" fillId="0" borderId="22" xfId="0" applyFont="1" applyBorder="1"/>
    <xf numFmtId="0" fontId="5" fillId="9" borderId="0" xfId="0" applyFont="1" applyFill="1" applyAlignment="1">
      <alignment horizontal="center" vertical="top"/>
    </xf>
    <xf numFmtId="0" fontId="6" fillId="9" borderId="0" xfId="0" applyFont="1" applyFill="1" applyAlignment="1">
      <alignment horizontal="center" vertical="top"/>
    </xf>
    <xf numFmtId="0" fontId="5" fillId="9" borderId="0" xfId="0" applyFont="1" applyFill="1"/>
    <xf numFmtId="0" fontId="12" fillId="9" borderId="0" xfId="0" applyFont="1" applyFill="1"/>
    <xf numFmtId="0" fontId="5" fillId="9" borderId="7" xfId="0" applyFont="1" applyFill="1" applyBorder="1" applyAlignment="1">
      <alignment horizontal="center" vertical="top"/>
    </xf>
    <xf numFmtId="0" fontId="6" fillId="9" borderId="0" xfId="0" applyFont="1" applyFill="1" applyAlignment="1">
      <alignment horizontal="left" vertical="top" wrapText="1"/>
    </xf>
    <xf numFmtId="0" fontId="13" fillId="9" borderId="8" xfId="0" applyFont="1" applyFill="1" applyBorder="1" applyAlignment="1">
      <alignment vertical="top" wrapText="1"/>
    </xf>
    <xf numFmtId="0" fontId="5" fillId="9" borderId="10" xfId="0" applyFont="1" applyFill="1" applyBorder="1"/>
    <xf numFmtId="0" fontId="5" fillId="9" borderId="8" xfId="0" applyFont="1" applyFill="1" applyBorder="1"/>
    <xf numFmtId="0" fontId="15" fillId="9" borderId="8" xfId="0" applyFont="1" applyFill="1" applyBorder="1" applyAlignment="1">
      <alignment vertical="top" wrapText="1"/>
    </xf>
    <xf numFmtId="0" fontId="12" fillId="9" borderId="8" xfId="0" applyFont="1" applyFill="1" applyBorder="1"/>
    <xf numFmtId="0" fontId="27" fillId="9" borderId="0" xfId="0" applyFont="1" applyFill="1"/>
    <xf numFmtId="0" fontId="25" fillId="9" borderId="22" xfId="0" applyFont="1" applyFill="1" applyBorder="1" applyAlignment="1">
      <alignment horizontal="right" vertical="center"/>
    </xf>
    <xf numFmtId="0" fontId="26" fillId="9" borderId="22" xfId="0" applyFont="1" applyFill="1" applyBorder="1" applyAlignment="1">
      <alignment horizontal="right" vertical="center"/>
    </xf>
    <xf numFmtId="0" fontId="26" fillId="9" borderId="22" xfId="0" applyFont="1" applyFill="1" applyBorder="1" applyAlignment="1">
      <alignment horizontal="right"/>
    </xf>
    <xf numFmtId="0" fontId="26" fillId="9" borderId="0" xfId="0" applyFont="1" applyFill="1" applyAlignment="1">
      <alignment horizontal="right"/>
    </xf>
    <xf numFmtId="0" fontId="26" fillId="9" borderId="22" xfId="0" applyFont="1" applyFill="1" applyBorder="1" applyAlignment="1">
      <alignment horizontal="center" vertical="center"/>
    </xf>
    <xf numFmtId="0" fontId="29" fillId="9" borderId="22" xfId="0" applyFont="1" applyFill="1" applyBorder="1" applyAlignment="1">
      <alignment horizontal="center"/>
    </xf>
    <xf numFmtId="44" fontId="23" fillId="0" borderId="0" xfId="0" applyNumberFormat="1" applyFont="1"/>
    <xf numFmtId="14" fontId="26" fillId="9" borderId="22" xfId="0" applyNumberFormat="1" applyFont="1" applyFill="1" applyBorder="1" applyAlignment="1">
      <alignment horizontal="center" vertical="center"/>
    </xf>
    <xf numFmtId="0" fontId="26" fillId="8" borderId="22" xfId="0" applyFont="1" applyFill="1" applyBorder="1"/>
    <xf numFmtId="0" fontId="25" fillId="7" borderId="22" xfId="0" applyFont="1" applyFill="1" applyBorder="1" applyAlignment="1">
      <alignment vertical="center"/>
    </xf>
    <xf numFmtId="0" fontId="25" fillId="7" borderId="22" xfId="0" applyFont="1" applyFill="1" applyBorder="1" applyAlignment="1">
      <alignment horizontal="right" vertical="center"/>
    </xf>
    <xf numFmtId="0" fontId="24" fillId="7" borderId="22" xfId="0" applyFont="1" applyFill="1" applyBorder="1" applyAlignment="1">
      <alignment horizontal="left" vertical="center"/>
    </xf>
    <xf numFmtId="0" fontId="28" fillId="8" borderId="22" xfId="0" applyFont="1" applyFill="1" applyBorder="1" applyAlignment="1">
      <alignment horizontal="left"/>
    </xf>
    <xf numFmtId="0" fontId="28" fillId="8" borderId="22" xfId="0" applyFont="1" applyFill="1" applyBorder="1" applyAlignment="1">
      <alignment horizontal="left" vertical="center"/>
    </xf>
    <xf numFmtId="0" fontId="28" fillId="8" borderId="22" xfId="0" applyFont="1" applyFill="1" applyBorder="1" applyAlignment="1">
      <alignment horizontal="right" vertical="center"/>
    </xf>
    <xf numFmtId="0" fontId="28" fillId="9" borderId="22" xfId="0" applyFont="1" applyFill="1" applyBorder="1" applyAlignment="1">
      <alignment horizontal="left" vertical="center"/>
    </xf>
    <xf numFmtId="0" fontId="33" fillId="9" borderId="22" xfId="0" applyFont="1" applyFill="1" applyBorder="1" applyAlignment="1">
      <alignment horizontal="center" vertical="center"/>
    </xf>
    <xf numFmtId="0" fontId="26" fillId="9" borderId="22" xfId="0" applyFont="1" applyFill="1" applyBorder="1" applyAlignment="1">
      <alignment horizontal="left" vertical="center" wrapText="1"/>
    </xf>
    <xf numFmtId="0" fontId="34" fillId="9" borderId="29" xfId="0" applyFont="1" applyFill="1" applyBorder="1" applyAlignment="1">
      <alignment horizontal="left" vertical="center" indent="1"/>
    </xf>
    <xf numFmtId="0" fontId="28" fillId="9" borderId="33" xfId="0" applyFont="1" applyFill="1" applyBorder="1" applyAlignment="1">
      <alignment horizontal="left" vertical="center"/>
    </xf>
    <xf numFmtId="0" fontId="26" fillId="9" borderId="29" xfId="0" applyFont="1" applyFill="1" applyBorder="1" applyAlignment="1">
      <alignment horizontal="left" indent="1"/>
    </xf>
    <xf numFmtId="0" fontId="24" fillId="9" borderId="29" xfId="0" applyFont="1" applyFill="1" applyBorder="1" applyAlignment="1">
      <alignment vertical="center"/>
    </xf>
    <xf numFmtId="0" fontId="24" fillId="9" borderId="33" xfId="0" applyFont="1" applyFill="1" applyBorder="1" applyAlignment="1">
      <alignment horizontal="center" vertical="center"/>
    </xf>
    <xf numFmtId="0" fontId="27" fillId="9" borderId="29" xfId="0" applyFont="1" applyFill="1" applyBorder="1" applyAlignment="1">
      <alignment horizontal="right" vertical="center"/>
    </xf>
    <xf numFmtId="0" fontId="27" fillId="9" borderId="33" xfId="0" applyFont="1" applyFill="1" applyBorder="1" applyAlignment="1">
      <alignment horizontal="center" vertical="center"/>
    </xf>
    <xf numFmtId="0" fontId="26" fillId="9" borderId="29" xfId="0" applyFont="1" applyFill="1" applyBorder="1" applyAlignment="1">
      <alignment horizontal="right" vertical="center" indent="1"/>
    </xf>
    <xf numFmtId="0" fontId="26" fillId="9" borderId="29" xfId="0" applyFont="1" applyFill="1" applyBorder="1" applyAlignment="1">
      <alignment horizontal="right" vertical="center"/>
    </xf>
    <xf numFmtId="0" fontId="27" fillId="9" borderId="29" xfId="0" applyFont="1" applyFill="1" applyBorder="1" applyAlignment="1">
      <alignment horizontal="right"/>
    </xf>
    <xf numFmtId="0" fontId="27" fillId="9" borderId="33" xfId="0" applyFont="1" applyFill="1" applyBorder="1" applyAlignment="1">
      <alignment horizontal="center"/>
    </xf>
    <xf numFmtId="0" fontId="26" fillId="9" borderId="29" xfId="0" applyFont="1" applyFill="1" applyBorder="1" applyAlignment="1">
      <alignment horizontal="right"/>
    </xf>
    <xf numFmtId="0" fontId="26" fillId="9" borderId="34" xfId="0" applyFont="1" applyFill="1" applyBorder="1"/>
    <xf numFmtId="0" fontId="26" fillId="9" borderId="28" xfId="0" applyFont="1" applyFill="1" applyBorder="1"/>
    <xf numFmtId="0" fontId="26" fillId="9" borderId="28" xfId="0" applyFont="1" applyFill="1" applyBorder="1" applyAlignment="1">
      <alignment horizontal="right"/>
    </xf>
    <xf numFmtId="0" fontId="27" fillId="9" borderId="28" xfId="0" applyFont="1" applyFill="1" applyBorder="1" applyAlignment="1">
      <alignment horizontal="center" vertical="center"/>
    </xf>
    <xf numFmtId="0" fontId="27" fillId="9" borderId="35" xfId="0" applyFont="1" applyFill="1" applyBorder="1" applyAlignment="1">
      <alignment horizontal="center"/>
    </xf>
    <xf numFmtId="0" fontId="26" fillId="7" borderId="30" xfId="0" applyFont="1" applyFill="1" applyBorder="1"/>
    <xf numFmtId="0" fontId="26" fillId="8" borderId="31" xfId="0" applyFont="1" applyFill="1" applyBorder="1"/>
    <xf numFmtId="0" fontId="28" fillId="8" borderId="31" xfId="0" applyFont="1" applyFill="1" applyBorder="1" applyAlignment="1">
      <alignment horizontal="left"/>
    </xf>
    <xf numFmtId="0" fontId="28" fillId="8" borderId="31" xfId="0" applyFont="1" applyFill="1" applyBorder="1" applyAlignment="1">
      <alignment horizontal="left" vertical="center"/>
    </xf>
    <xf numFmtId="0" fontId="28" fillId="8" borderId="31" xfId="0" applyFont="1" applyFill="1" applyBorder="1" applyAlignment="1">
      <alignment horizontal="right" vertical="center"/>
    </xf>
    <xf numFmtId="0" fontId="26" fillId="8" borderId="32" xfId="0" applyFont="1" applyFill="1" applyBorder="1"/>
    <xf numFmtId="0" fontId="26" fillId="7" borderId="29" xfId="0" applyFont="1" applyFill="1" applyBorder="1"/>
    <xf numFmtId="0" fontId="26" fillId="8" borderId="33" xfId="0" applyFont="1" applyFill="1" applyBorder="1"/>
    <xf numFmtId="0" fontId="25" fillId="7" borderId="29" xfId="0" applyFont="1" applyFill="1" applyBorder="1" applyAlignment="1">
      <alignment horizontal="center"/>
    </xf>
    <xf numFmtId="0" fontId="26" fillId="9" borderId="0" xfId="0" applyFont="1" applyFill="1" applyAlignment="1">
      <alignment vertical="center"/>
    </xf>
    <xf numFmtId="0" fontId="27" fillId="9" borderId="0" xfId="0" applyFont="1" applyFill="1" applyAlignment="1">
      <alignment vertical="center"/>
    </xf>
    <xf numFmtId="0" fontId="24" fillId="7" borderId="29" xfId="0" applyFont="1" applyFill="1" applyBorder="1" applyAlignment="1">
      <alignment horizontal="left" vertical="center" indent="1"/>
    </xf>
    <xf numFmtId="0" fontId="26" fillId="7" borderId="22" xfId="0" applyFont="1" applyFill="1" applyBorder="1"/>
    <xf numFmtId="0" fontId="23" fillId="9" borderId="22" xfId="0" applyFont="1" applyFill="1" applyBorder="1"/>
    <xf numFmtId="0" fontId="4" fillId="9" borderId="22" xfId="0" applyFont="1" applyFill="1" applyBorder="1" applyAlignment="1">
      <alignment horizontal="right" vertical="center"/>
    </xf>
    <xf numFmtId="14" fontId="31" fillId="9" borderId="22" xfId="0" applyNumberFormat="1" applyFont="1" applyFill="1" applyBorder="1" applyAlignment="1">
      <alignment horizontal="center" vertical="center"/>
    </xf>
    <xf numFmtId="0" fontId="5" fillId="9" borderId="22" xfId="0" applyFont="1" applyFill="1" applyBorder="1" applyAlignment="1">
      <alignment vertical="center" wrapText="1"/>
    </xf>
    <xf numFmtId="0" fontId="28" fillId="9" borderId="37" xfId="0" applyFont="1" applyFill="1" applyBorder="1" applyAlignment="1">
      <alignment horizontal="left" vertical="center"/>
    </xf>
    <xf numFmtId="14" fontId="31" fillId="9" borderId="37" xfId="0" applyNumberFormat="1" applyFont="1" applyFill="1" applyBorder="1" applyAlignment="1">
      <alignment horizontal="center" vertical="center"/>
    </xf>
    <xf numFmtId="0" fontId="25" fillId="9" borderId="37" xfId="0" applyFont="1" applyFill="1" applyBorder="1" applyAlignment="1">
      <alignment vertical="center"/>
    </xf>
    <xf numFmtId="0" fontId="28" fillId="9" borderId="36" xfId="0" applyFont="1" applyFill="1" applyBorder="1" applyAlignment="1">
      <alignment horizontal="left" vertical="center"/>
    </xf>
    <xf numFmtId="0" fontId="28" fillId="7" borderId="30" xfId="0" applyFont="1" applyFill="1" applyBorder="1" applyAlignment="1">
      <alignment horizontal="left"/>
    </xf>
    <xf numFmtId="0" fontId="28" fillId="7" borderId="31" xfId="0" applyFont="1" applyFill="1" applyBorder="1" applyAlignment="1">
      <alignment horizontal="left" vertical="center"/>
    </xf>
    <xf numFmtId="0" fontId="28" fillId="7" borderId="31" xfId="0" applyFont="1" applyFill="1" applyBorder="1" applyAlignment="1">
      <alignment horizontal="right" vertical="center"/>
    </xf>
    <xf numFmtId="0" fontId="28" fillId="7" borderId="32" xfId="0" applyFont="1" applyFill="1" applyBorder="1" applyAlignment="1">
      <alignment horizontal="left" vertical="center"/>
    </xf>
    <xf numFmtId="0" fontId="24" fillId="7" borderId="31" xfId="0" applyFont="1" applyFill="1" applyBorder="1" applyAlignment="1">
      <alignment horizontal="left" vertical="center"/>
    </xf>
    <xf numFmtId="0" fontId="36" fillId="9" borderId="22" xfId="0" applyFont="1" applyFill="1" applyBorder="1" applyAlignment="1">
      <alignment horizontal="center"/>
    </xf>
    <xf numFmtId="0" fontId="26" fillId="9" borderId="38" xfId="0" applyFont="1" applyFill="1" applyBorder="1" applyAlignment="1">
      <alignment vertical="center"/>
    </xf>
    <xf numFmtId="0" fontId="24" fillId="9" borderId="39" xfId="0" applyFont="1" applyFill="1" applyBorder="1" applyAlignment="1">
      <alignment horizontal="center" vertical="center"/>
    </xf>
    <xf numFmtId="0" fontId="26" fillId="11" borderId="39" xfId="0" applyFont="1" applyFill="1" applyBorder="1" applyAlignment="1">
      <alignment horizontal="center" vertical="center"/>
    </xf>
    <xf numFmtId="14" fontId="35" fillId="9" borderId="22" xfId="0" applyNumberFormat="1" applyFont="1" applyFill="1" applyBorder="1" applyAlignment="1">
      <alignment horizontal="center" vertical="center"/>
    </xf>
    <xf numFmtId="14" fontId="4" fillId="11" borderId="39" xfId="0" applyNumberFormat="1" applyFont="1" applyFill="1" applyBorder="1" applyAlignment="1">
      <alignment horizontal="center" vertical="center"/>
    </xf>
    <xf numFmtId="14" fontId="31" fillId="12" borderId="39" xfId="0" applyNumberFormat="1" applyFont="1" applyFill="1" applyBorder="1" applyAlignment="1">
      <alignment horizontal="center" vertical="center"/>
    </xf>
    <xf numFmtId="14" fontId="31" fillId="9" borderId="40" xfId="0" applyNumberFormat="1" applyFont="1" applyFill="1" applyBorder="1" applyAlignment="1">
      <alignment horizontal="center" vertical="center"/>
    </xf>
    <xf numFmtId="0" fontId="16" fillId="9" borderId="22" xfId="0" applyFont="1" applyFill="1" applyBorder="1" applyAlignment="1">
      <alignment horizontal="left" vertical="top" wrapText="1"/>
    </xf>
    <xf numFmtId="0" fontId="26" fillId="9" borderId="41" xfId="0" applyFont="1" applyFill="1" applyBorder="1" applyAlignment="1">
      <alignment horizontal="left" indent="1"/>
    </xf>
    <xf numFmtId="0" fontId="3" fillId="9" borderId="22" xfId="0" applyFont="1" applyFill="1" applyBorder="1" applyAlignment="1">
      <alignment vertical="center" wrapText="1"/>
    </xf>
    <xf numFmtId="0" fontId="24" fillId="7" borderId="33" xfId="0" applyFont="1" applyFill="1" applyBorder="1" applyAlignment="1">
      <alignment horizontal="center" vertical="center"/>
    </xf>
    <xf numFmtId="0" fontId="24" fillId="7" borderId="22" xfId="0" applyFont="1" applyFill="1" applyBorder="1" applyAlignment="1">
      <alignment horizontal="center" vertical="center"/>
    </xf>
    <xf numFmtId="0" fontId="22" fillId="0" borderId="22" xfId="0" applyFont="1" applyBorder="1"/>
    <xf numFmtId="0" fontId="23" fillId="0" borderId="22" xfId="1"/>
    <xf numFmtId="1" fontId="23" fillId="0" borderId="22" xfId="1" applyNumberFormat="1" applyAlignment="1">
      <alignment horizontal="center" vertical="center"/>
    </xf>
    <xf numFmtId="49" fontId="23" fillId="0" borderId="22" xfId="1" applyNumberFormat="1" applyAlignment="1">
      <alignment horizontal="right"/>
    </xf>
    <xf numFmtId="49" fontId="15" fillId="0" borderId="22" xfId="1" applyNumberFormat="1" applyFont="1" applyAlignment="1">
      <alignment horizontal="right"/>
    </xf>
    <xf numFmtId="0" fontId="15" fillId="0" borderId="22" xfId="1" applyFont="1"/>
    <xf numFmtId="0" fontId="5" fillId="3" borderId="8" xfId="0" applyFont="1" applyFill="1" applyBorder="1"/>
    <xf numFmtId="0" fontId="15" fillId="9" borderId="0" xfId="0" applyFont="1" applyFill="1"/>
    <xf numFmtId="0" fontId="5" fillId="3" borderId="2" xfId="0" applyFont="1" applyFill="1" applyBorder="1"/>
    <xf numFmtId="0" fontId="26" fillId="9" borderId="29" xfId="0" applyFont="1" applyFill="1" applyBorder="1"/>
    <xf numFmtId="44" fontId="23" fillId="0" borderId="22" xfId="0" applyNumberFormat="1" applyFont="1" applyBorder="1"/>
    <xf numFmtId="0" fontId="0" fillId="0" borderId="22" xfId="0" applyBorder="1"/>
    <xf numFmtId="0" fontId="21" fillId="5" borderId="42" xfId="0" applyFont="1" applyFill="1" applyBorder="1" applyAlignment="1">
      <alignment horizontal="center" vertical="center"/>
    </xf>
    <xf numFmtId="0" fontId="21" fillId="6" borderId="42" xfId="0" applyFont="1" applyFill="1" applyBorder="1" applyAlignment="1">
      <alignment horizontal="center" vertical="center"/>
    </xf>
    <xf numFmtId="0" fontId="21" fillId="2" borderId="44" xfId="0" applyFont="1" applyFill="1" applyBorder="1" applyAlignment="1">
      <alignment horizontal="center" vertical="center"/>
    </xf>
    <xf numFmtId="0" fontId="0" fillId="0" borderId="43" xfId="0" applyBorder="1" applyAlignment="1">
      <alignment horizontal="center" vertical="center"/>
    </xf>
    <xf numFmtId="0" fontId="0" fillId="0" borderId="0" xfId="0" applyAlignment="1">
      <alignment horizontal="center" vertical="center"/>
    </xf>
    <xf numFmtId="0" fontId="6" fillId="3" borderId="15" xfId="0" applyFont="1" applyFill="1" applyBorder="1" applyAlignment="1">
      <alignment horizontal="left" vertical="center" wrapText="1"/>
    </xf>
    <xf numFmtId="0" fontId="14" fillId="4" borderId="2" xfId="0" applyFont="1" applyFill="1" applyBorder="1" applyAlignment="1">
      <alignment horizontal="left" vertical="center"/>
    </xf>
    <xf numFmtId="0" fontId="6" fillId="4" borderId="2" xfId="0" applyFont="1" applyFill="1" applyBorder="1" applyAlignment="1">
      <alignment horizontal="left" vertical="center" wrapText="1"/>
    </xf>
    <xf numFmtId="0" fontId="7" fillId="3" borderId="2" xfId="0" applyFont="1" applyFill="1" applyBorder="1" applyAlignment="1">
      <alignment horizontal="left" vertical="center"/>
    </xf>
    <xf numFmtId="0" fontId="6" fillId="3" borderId="2" xfId="0" applyFont="1" applyFill="1" applyBorder="1" applyAlignment="1">
      <alignment horizontal="left" vertical="center"/>
    </xf>
    <xf numFmtId="0" fontId="6" fillId="9" borderId="5" xfId="0" applyFont="1" applyFill="1" applyBorder="1" applyAlignment="1">
      <alignment horizontal="left" vertical="center" wrapText="1"/>
    </xf>
    <xf numFmtId="0" fontId="6" fillId="9" borderId="0" xfId="0" applyFont="1" applyFill="1" applyAlignment="1">
      <alignment horizontal="left" vertical="center" wrapText="1"/>
    </xf>
    <xf numFmtId="0" fontId="12" fillId="9" borderId="0" xfId="0" applyFont="1" applyFill="1" applyAlignment="1">
      <alignment horizontal="left" vertical="center" wrapText="1"/>
    </xf>
    <xf numFmtId="0" fontId="15" fillId="9" borderId="0" xfId="0" applyFont="1" applyFill="1" applyAlignment="1">
      <alignment vertical="center"/>
    </xf>
    <xf numFmtId="0" fontId="6" fillId="9" borderId="9" xfId="0" applyFont="1" applyFill="1" applyBorder="1" applyAlignment="1">
      <alignment horizontal="left" vertical="center" wrapText="1"/>
    </xf>
    <xf numFmtId="0" fontId="14" fillId="9" borderId="0" xfId="0" applyFont="1" applyFill="1" applyAlignment="1">
      <alignment horizontal="left" vertical="center" wrapText="1"/>
    </xf>
    <xf numFmtId="0" fontId="5" fillId="9" borderId="0" xfId="0" applyFont="1" applyFill="1" applyAlignment="1">
      <alignment horizontal="left" vertical="center" wrapText="1"/>
    </xf>
    <xf numFmtId="0" fontId="16" fillId="9" borderId="0" xfId="0" applyFont="1" applyFill="1" applyAlignment="1">
      <alignment horizontal="right" vertical="center" wrapText="1"/>
    </xf>
    <xf numFmtId="0" fontId="16" fillId="9" borderId="0" xfId="0" applyFont="1" applyFill="1" applyAlignment="1">
      <alignment horizontal="left" vertical="center"/>
    </xf>
    <xf numFmtId="0" fontId="16" fillId="9" borderId="0" xfId="0" applyFont="1" applyFill="1" applyAlignment="1">
      <alignment horizontal="left" vertical="center" wrapText="1"/>
    </xf>
    <xf numFmtId="0" fontId="32" fillId="10" borderId="0" xfId="0" applyFont="1" applyFill="1" applyAlignment="1">
      <alignment vertical="center"/>
    </xf>
    <xf numFmtId="0" fontId="37" fillId="9" borderId="0" xfId="0" applyFont="1" applyFill="1" applyAlignment="1">
      <alignment vertical="center"/>
    </xf>
    <xf numFmtId="0" fontId="14" fillId="9" borderId="0" xfId="0" applyFont="1" applyFill="1" applyAlignment="1">
      <alignment horizontal="left" vertical="center"/>
    </xf>
    <xf numFmtId="0" fontId="6" fillId="9" borderId="14" xfId="0" applyFont="1" applyFill="1" applyBorder="1" applyAlignment="1">
      <alignment horizontal="left" vertical="center" wrapText="1"/>
    </xf>
    <xf numFmtId="0" fontId="12" fillId="4" borderId="19" xfId="0" applyFont="1" applyFill="1" applyBorder="1" applyAlignment="1">
      <alignment horizontal="left" vertical="center" wrapText="1"/>
    </xf>
    <xf numFmtId="0" fontId="12" fillId="4" borderId="0" xfId="0" applyFont="1" applyFill="1" applyAlignment="1">
      <alignment horizontal="left" vertical="center" wrapText="1"/>
    </xf>
    <xf numFmtId="0" fontId="21" fillId="2" borderId="26" xfId="1" applyFont="1" applyFill="1" applyBorder="1" applyAlignment="1">
      <alignment horizontal="center" vertical="center"/>
    </xf>
    <xf numFmtId="0" fontId="21" fillId="2" borderId="44" xfId="0" applyFont="1" applyFill="1" applyBorder="1" applyAlignment="1">
      <alignment horizontal="center" vertical="center" wrapText="1"/>
    </xf>
    <xf numFmtId="0" fontId="26" fillId="11" borderId="22" xfId="0" applyFont="1" applyFill="1" applyBorder="1" applyAlignment="1">
      <alignment horizontal="center" vertical="center"/>
    </xf>
    <xf numFmtId="0" fontId="40" fillId="9" borderId="22" xfId="0" applyFont="1" applyFill="1" applyBorder="1" applyAlignment="1">
      <alignment horizontal="left" vertical="center" wrapText="1" indent="1"/>
    </xf>
    <xf numFmtId="14" fontId="4" fillId="11" borderId="22" xfId="0" applyNumberFormat="1" applyFont="1" applyFill="1" applyBorder="1" applyAlignment="1">
      <alignment horizontal="center" vertical="center"/>
    </xf>
    <xf numFmtId="0" fontId="26" fillId="8" borderId="45" xfId="0" applyFont="1" applyFill="1" applyBorder="1"/>
    <xf numFmtId="0" fontId="26" fillId="9" borderId="46" xfId="0" applyFont="1" applyFill="1" applyBorder="1"/>
    <xf numFmtId="0" fontId="26" fillId="8" borderId="48" xfId="0" applyFont="1" applyFill="1" applyBorder="1" applyAlignment="1">
      <alignment horizontal="right"/>
    </xf>
    <xf numFmtId="0" fontId="26" fillId="8" borderId="48" xfId="0" applyFont="1" applyFill="1" applyBorder="1"/>
    <xf numFmtId="0" fontId="27" fillId="8" borderId="48" xfId="0" applyFont="1" applyFill="1" applyBorder="1" applyAlignment="1">
      <alignment horizontal="center" vertical="center"/>
    </xf>
    <xf numFmtId="0" fontId="27" fillId="8" borderId="48" xfId="0" applyFont="1" applyFill="1" applyBorder="1" applyAlignment="1">
      <alignment horizontal="center"/>
    </xf>
    <xf numFmtId="0" fontId="26" fillId="8" borderId="47" xfId="0" applyFont="1" applyFill="1" applyBorder="1"/>
    <xf numFmtId="0" fontId="26" fillId="8" borderId="48" xfId="0" applyFont="1" applyFill="1" applyBorder="1" applyAlignment="1">
      <alignment vertical="center"/>
    </xf>
    <xf numFmtId="0" fontId="26" fillId="7" borderId="48" xfId="0" applyFont="1" applyFill="1" applyBorder="1"/>
    <xf numFmtId="0" fontId="26" fillId="8" borderId="49" xfId="0" applyFont="1" applyFill="1" applyBorder="1"/>
    <xf numFmtId="14" fontId="31" fillId="0" borderId="22" xfId="0" applyNumberFormat="1" applyFont="1" applyBorder="1" applyAlignment="1">
      <alignment horizontal="center" vertical="center"/>
    </xf>
    <xf numFmtId="0" fontId="5" fillId="0" borderId="22" xfId="0" applyFont="1" applyBorder="1" applyAlignment="1">
      <alignment vertical="center" wrapText="1"/>
    </xf>
    <xf numFmtId="0" fontId="29" fillId="0" borderId="22" xfId="0" applyFont="1" applyBorder="1" applyAlignment="1">
      <alignment horizontal="center"/>
    </xf>
    <xf numFmtId="0" fontId="26" fillId="0" borderId="22" xfId="0" applyFont="1" applyBorder="1" applyAlignment="1">
      <alignment vertical="center"/>
    </xf>
    <xf numFmtId="0" fontId="40" fillId="0" borderId="22" xfId="0" applyFont="1" applyBorder="1" applyAlignment="1">
      <alignment horizontal="left" vertical="center" wrapText="1" indent="1"/>
    </xf>
    <xf numFmtId="14" fontId="40" fillId="9" borderId="22" xfId="0" applyNumberFormat="1" applyFont="1" applyFill="1" applyBorder="1" applyAlignment="1">
      <alignment horizontal="left" vertical="center" wrapText="1" indent="1"/>
    </xf>
    <xf numFmtId="14" fontId="41" fillId="9" borderId="22" xfId="0" applyNumberFormat="1" applyFont="1" applyFill="1" applyBorder="1" applyAlignment="1">
      <alignment horizontal="center" vertical="center"/>
    </xf>
    <xf numFmtId="0" fontId="41" fillId="9" borderId="22" xfId="0" applyFont="1" applyFill="1" applyBorder="1" applyAlignment="1">
      <alignment horizontal="center" vertical="center"/>
    </xf>
    <xf numFmtId="0" fontId="41" fillId="13" borderId="50" xfId="0" applyFont="1" applyFill="1" applyBorder="1" applyAlignment="1">
      <alignment vertical="center" wrapText="1"/>
    </xf>
    <xf numFmtId="0" fontId="42" fillId="13" borderId="51" xfId="0" applyFont="1" applyFill="1" applyBorder="1" applyAlignment="1">
      <alignment horizontal="center"/>
    </xf>
    <xf numFmtId="14" fontId="41" fillId="13" borderId="51" xfId="0" applyNumberFormat="1" applyFont="1" applyFill="1" applyBorder="1" applyAlignment="1">
      <alignment horizontal="center" vertical="center"/>
    </xf>
    <xf numFmtId="0" fontId="41" fillId="13" borderId="51" xfId="0" applyFont="1" applyFill="1" applyBorder="1" applyAlignment="1">
      <alignment vertical="center"/>
    </xf>
    <xf numFmtId="14" fontId="41" fillId="13" borderId="52" xfId="0" applyNumberFormat="1" applyFont="1" applyFill="1" applyBorder="1" applyAlignment="1">
      <alignment horizontal="center" vertical="center"/>
    </xf>
    <xf numFmtId="0" fontId="43" fillId="13" borderId="55" xfId="0" applyFont="1" applyFill="1" applyBorder="1" applyAlignment="1">
      <alignment horizontal="left" vertical="center" wrapText="1" indent="1"/>
    </xf>
    <xf numFmtId="0" fontId="43" fillId="13" borderId="56" xfId="0" applyFont="1" applyFill="1" applyBorder="1" applyAlignment="1">
      <alignment horizontal="left" vertical="center" wrapText="1" indent="1"/>
    </xf>
    <xf numFmtId="0" fontId="41" fillId="13" borderId="56" xfId="0" applyFont="1" applyFill="1" applyBorder="1" applyAlignment="1">
      <alignment vertical="center"/>
    </xf>
    <xf numFmtId="0" fontId="41" fillId="13" borderId="57" xfId="0" applyFont="1" applyFill="1" applyBorder="1" applyAlignment="1">
      <alignment horizontal="center" vertical="center"/>
    </xf>
    <xf numFmtId="0" fontId="36" fillId="9" borderId="22" xfId="0" applyFont="1" applyFill="1" applyBorder="1" applyAlignment="1">
      <alignment horizontal="right" vertical="center"/>
    </xf>
    <xf numFmtId="0" fontId="2" fillId="11" borderId="39" xfId="0" applyFont="1" applyFill="1" applyBorder="1" applyAlignment="1">
      <alignment horizontal="center" vertical="center"/>
    </xf>
    <xf numFmtId="0" fontId="26" fillId="7" borderId="30" xfId="1" applyFont="1" applyFill="1" applyBorder="1"/>
    <xf numFmtId="0" fontId="26" fillId="8" borderId="31" xfId="1" applyFont="1" applyFill="1" applyBorder="1"/>
    <xf numFmtId="0" fontId="28" fillId="8" borderId="31" xfId="1" applyFont="1" applyFill="1" applyBorder="1" applyAlignment="1">
      <alignment horizontal="left"/>
    </xf>
    <xf numFmtId="0" fontId="28" fillId="8" borderId="31" xfId="1" applyFont="1" applyFill="1" applyBorder="1" applyAlignment="1">
      <alignment horizontal="left" vertical="center"/>
    </xf>
    <xf numFmtId="0" fontId="26" fillId="8" borderId="32" xfId="1" applyFont="1" applyFill="1" applyBorder="1"/>
    <xf numFmtId="0" fontId="44" fillId="0" borderId="22" xfId="1" applyFont="1"/>
    <xf numFmtId="0" fontId="26" fillId="7" borderId="29" xfId="1" applyFont="1" applyFill="1" applyBorder="1"/>
    <xf numFmtId="0" fontId="26" fillId="8" borderId="22" xfId="1" applyFont="1" applyFill="1"/>
    <xf numFmtId="0" fontId="28" fillId="8" borderId="48" xfId="1" applyFont="1" applyFill="1" applyBorder="1" applyAlignment="1">
      <alignment horizontal="left"/>
    </xf>
    <xf numFmtId="0" fontId="28" fillId="8" borderId="48" xfId="1" applyFont="1" applyFill="1" applyBorder="1" applyAlignment="1">
      <alignment horizontal="left" vertical="center"/>
    </xf>
    <xf numFmtId="0" fontId="26" fillId="8" borderId="33" xfId="1" applyFont="1" applyFill="1" applyBorder="1"/>
    <xf numFmtId="0" fontId="26" fillId="8" borderId="58" xfId="1" applyFont="1" applyFill="1" applyBorder="1"/>
    <xf numFmtId="0" fontId="28" fillId="9" borderId="22" xfId="1" applyFont="1" applyFill="1" applyAlignment="1">
      <alignment horizontal="left"/>
    </xf>
    <xf numFmtId="0" fontId="28" fillId="9" borderId="60" xfId="1" applyFont="1" applyFill="1" applyBorder="1" applyAlignment="1">
      <alignment horizontal="left" vertical="center"/>
    </xf>
    <xf numFmtId="0" fontId="25" fillId="7" borderId="29" xfId="1" applyFont="1" applyFill="1" applyBorder="1" applyAlignment="1">
      <alignment horizontal="center"/>
    </xf>
    <xf numFmtId="0" fontId="34" fillId="9" borderId="46" xfId="1" applyFont="1" applyFill="1" applyBorder="1" applyAlignment="1">
      <alignment horizontal="left" vertical="center" indent="1"/>
    </xf>
    <xf numFmtId="0" fontId="28" fillId="9" borderId="58" xfId="1" applyFont="1" applyFill="1" applyBorder="1" applyAlignment="1">
      <alignment horizontal="left" vertical="center"/>
    </xf>
    <xf numFmtId="0" fontId="26" fillId="9" borderId="46" xfId="1" applyFont="1" applyFill="1" applyBorder="1" applyAlignment="1">
      <alignment horizontal="left" indent="1"/>
    </xf>
    <xf numFmtId="0" fontId="26" fillId="9" borderId="22" xfId="1" applyFont="1" applyFill="1" applyAlignment="1">
      <alignment horizontal="left" indent="1"/>
    </xf>
    <xf numFmtId="0" fontId="5" fillId="9" borderId="22" xfId="1" applyFont="1" applyFill="1" applyAlignment="1">
      <alignment vertical="center" wrapText="1"/>
    </xf>
    <xf numFmtId="0" fontId="46" fillId="0" borderId="22" xfId="1" applyFont="1"/>
    <xf numFmtId="0" fontId="24" fillId="9" borderId="22" xfId="1" applyFont="1" applyFill="1" applyAlignment="1">
      <alignment horizontal="left" vertical="center" indent="1"/>
    </xf>
    <xf numFmtId="0" fontId="47" fillId="0" borderId="22" xfId="1" applyFont="1" applyAlignment="1">
      <alignment vertical="center"/>
    </xf>
    <xf numFmtId="0" fontId="47" fillId="0" borderId="22" xfId="1" applyFont="1"/>
    <xf numFmtId="0" fontId="24" fillId="9" borderId="58" xfId="1" applyFont="1" applyFill="1" applyBorder="1" applyAlignment="1">
      <alignment horizontal="center" vertical="center"/>
    </xf>
    <xf numFmtId="0" fontId="44" fillId="12" borderId="67" xfId="1" applyFont="1" applyFill="1" applyBorder="1" applyAlignment="1">
      <alignment horizontal="center" vertical="center"/>
    </xf>
    <xf numFmtId="0" fontId="44" fillId="9" borderId="22" xfId="1" applyFont="1" applyFill="1"/>
    <xf numFmtId="0" fontId="1" fillId="9" borderId="22" xfId="1" applyFont="1" applyFill="1" applyAlignment="1">
      <alignment vertical="center" wrapText="1"/>
    </xf>
    <xf numFmtId="0" fontId="16" fillId="9" borderId="22" xfId="1" applyFont="1" applyFill="1" applyAlignment="1">
      <alignment horizontal="left" vertical="top" wrapText="1"/>
    </xf>
    <xf numFmtId="0" fontId="26" fillId="9" borderId="22" xfId="1" applyFont="1" applyFill="1" applyAlignment="1">
      <alignment vertical="center"/>
    </xf>
    <xf numFmtId="0" fontId="26" fillId="9" borderId="68" xfId="1" applyFont="1" applyFill="1" applyBorder="1" applyAlignment="1">
      <alignment horizontal="left" indent="1"/>
    </xf>
    <xf numFmtId="0" fontId="26" fillId="9" borderId="48" xfId="1" applyFont="1" applyFill="1" applyBorder="1" applyAlignment="1">
      <alignment vertical="center"/>
    </xf>
    <xf numFmtId="0" fontId="44" fillId="7" borderId="48" xfId="1" applyFont="1" applyFill="1" applyBorder="1"/>
    <xf numFmtId="0" fontId="44" fillId="14" borderId="48" xfId="1" applyFont="1" applyFill="1" applyBorder="1"/>
    <xf numFmtId="0" fontId="44" fillId="14" borderId="69" xfId="1" applyFont="1" applyFill="1" applyBorder="1"/>
    <xf numFmtId="0" fontId="44" fillId="14" borderId="47" xfId="1" applyFont="1" applyFill="1" applyBorder="1"/>
    <xf numFmtId="0" fontId="21" fillId="2" borderId="70" xfId="0" applyFont="1" applyFill="1" applyBorder="1" applyAlignment="1">
      <alignment horizontal="center"/>
    </xf>
    <xf numFmtId="0" fontId="0" fillId="0" borderId="71" xfId="0" applyBorder="1"/>
    <xf numFmtId="0" fontId="0" fillId="0" borderId="44" xfId="0" applyBorder="1"/>
    <xf numFmtId="0" fontId="21" fillId="2" borderId="26" xfId="1" applyFont="1" applyFill="1" applyBorder="1" applyAlignment="1">
      <alignment horizontal="center" vertical="center" wrapText="1"/>
    </xf>
    <xf numFmtId="0" fontId="21" fillId="2" borderId="72" xfId="0" applyFont="1" applyFill="1" applyBorder="1" applyAlignment="1">
      <alignment horizontal="center"/>
    </xf>
    <xf numFmtId="0" fontId="22" fillId="0" borderId="73" xfId="0" applyFont="1" applyBorder="1"/>
    <xf numFmtId="0" fontId="50" fillId="0" borderId="74" xfId="0" applyFont="1" applyBorder="1"/>
    <xf numFmtId="0" fontId="22" fillId="0" borderId="74" xfId="0" applyFont="1" applyBorder="1"/>
    <xf numFmtId="0" fontId="22" fillId="0" borderId="75" xfId="0" applyFont="1" applyBorder="1"/>
    <xf numFmtId="0" fontId="22" fillId="0" borderId="76" xfId="0" applyFont="1" applyBorder="1"/>
    <xf numFmtId="0" fontId="21" fillId="2" borderId="77" xfId="0" applyFont="1" applyFill="1" applyBorder="1" applyAlignment="1">
      <alignment horizontal="center"/>
    </xf>
    <xf numFmtId="0" fontId="21" fillId="2" borderId="78" xfId="0" applyFont="1" applyFill="1" applyBorder="1" applyAlignment="1">
      <alignment horizontal="center"/>
    </xf>
    <xf numFmtId="0" fontId="50" fillId="0" borderId="79" xfId="0" applyFont="1" applyBorder="1"/>
    <xf numFmtId="0" fontId="0" fillId="0" borderId="79" xfId="0" applyBorder="1"/>
    <xf numFmtId="0" fontId="22" fillId="0" borderId="79" xfId="0" applyFont="1" applyBorder="1"/>
    <xf numFmtId="0" fontId="22" fillId="0" borderId="80" xfId="0" applyFont="1" applyBorder="1"/>
    <xf numFmtId="0" fontId="21" fillId="2" borderId="81" xfId="0" applyFont="1" applyFill="1" applyBorder="1" applyAlignment="1">
      <alignment horizontal="center"/>
    </xf>
    <xf numFmtId="0" fontId="50" fillId="0" borderId="78" xfId="0" applyFont="1" applyBorder="1"/>
    <xf numFmtId="0" fontId="21" fillId="2" borderId="82" xfId="0" applyFont="1" applyFill="1" applyBorder="1" applyAlignment="1">
      <alignment horizontal="center"/>
    </xf>
    <xf numFmtId="0" fontId="50" fillId="0" borderId="83" xfId="0" applyFont="1" applyBorder="1"/>
    <xf numFmtId="0" fontId="9" fillId="9" borderId="6" xfId="0" applyFont="1" applyFill="1" applyBorder="1" applyAlignment="1">
      <alignment horizontal="left" vertical="center" wrapText="1"/>
    </xf>
    <xf numFmtId="0" fontId="10" fillId="9" borderId="6" xfId="0" applyFont="1" applyFill="1" applyBorder="1" applyAlignment="1">
      <alignment vertical="center"/>
    </xf>
    <xf numFmtId="0" fontId="12" fillId="9" borderId="0" xfId="0" applyFont="1" applyFill="1" applyAlignment="1">
      <alignment horizontal="left" vertical="center" wrapText="1"/>
    </xf>
    <xf numFmtId="0" fontId="15" fillId="9" borderId="0" xfId="0" applyFont="1" applyFill="1" applyAlignment="1">
      <alignment vertical="center"/>
    </xf>
    <xf numFmtId="0" fontId="14" fillId="9" borderId="0" xfId="0" applyFont="1" applyFill="1" applyAlignment="1">
      <alignment horizontal="left" vertical="center" wrapText="1"/>
    </xf>
    <xf numFmtId="0" fontId="5" fillId="9" borderId="0" xfId="0" applyFont="1" applyFill="1" applyAlignment="1">
      <alignment horizontal="left" vertical="center" wrapText="1"/>
    </xf>
    <xf numFmtId="0" fontId="16" fillId="9" borderId="0" xfId="0" applyFont="1" applyFill="1" applyAlignment="1">
      <alignment horizontal="left" vertical="center" wrapText="1"/>
    </xf>
    <xf numFmtId="0" fontId="17" fillId="9" borderId="0" xfId="0" applyFont="1" applyFill="1" applyAlignment="1">
      <alignment horizontal="left" vertical="top" wrapText="1"/>
    </xf>
    <xf numFmtId="0" fontId="15" fillId="9" borderId="0" xfId="0" applyFont="1" applyFill="1" applyAlignment="1">
      <alignment vertical="top"/>
    </xf>
    <xf numFmtId="0" fontId="6" fillId="0" borderId="11" xfId="0" applyFont="1" applyBorder="1" applyAlignment="1">
      <alignment horizontal="left" vertical="center" wrapText="1"/>
    </xf>
    <xf numFmtId="0" fontId="10" fillId="0" borderId="12" xfId="0" applyFont="1" applyBorder="1" applyAlignment="1">
      <alignment vertical="center"/>
    </xf>
    <xf numFmtId="0" fontId="10" fillId="0" borderId="13" xfId="0" applyFont="1" applyBorder="1" applyAlignment="1">
      <alignment vertical="center"/>
    </xf>
    <xf numFmtId="0" fontId="18" fillId="2" borderId="11"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10" fillId="0" borderId="21" xfId="0" applyFont="1" applyBorder="1" applyAlignment="1">
      <alignment vertical="center"/>
    </xf>
    <xf numFmtId="0" fontId="10" fillId="0" borderId="22" xfId="0" applyFont="1" applyBorder="1" applyAlignment="1">
      <alignment vertical="center"/>
    </xf>
    <xf numFmtId="0" fontId="20" fillId="4" borderId="20" xfId="0" applyFont="1" applyFill="1" applyBorder="1" applyAlignment="1">
      <alignment horizontal="left" vertical="top" wrapText="1"/>
    </xf>
    <xf numFmtId="0" fontId="10" fillId="0" borderId="21" xfId="0" applyFont="1" applyBorder="1"/>
    <xf numFmtId="0" fontId="10" fillId="0" borderId="22" xfId="0" applyFont="1" applyBorder="1"/>
    <xf numFmtId="0" fontId="18" fillId="2" borderId="16" xfId="0" applyFont="1" applyFill="1" applyBorder="1" applyAlignment="1">
      <alignment horizontal="left" vertical="center" wrapText="1"/>
    </xf>
    <xf numFmtId="0" fontId="10" fillId="0" borderId="17" xfId="0" applyFont="1" applyBorder="1" applyAlignment="1">
      <alignment vertical="center"/>
    </xf>
    <xf numFmtId="0" fontId="10" fillId="0" borderId="18" xfId="0" applyFont="1" applyBorder="1" applyAlignment="1">
      <alignment vertical="center"/>
    </xf>
    <xf numFmtId="0" fontId="5" fillId="9" borderId="22" xfId="0" applyFont="1" applyFill="1" applyBorder="1" applyAlignment="1">
      <alignment horizontal="left" vertical="center" wrapText="1" indent="1"/>
    </xf>
    <xf numFmtId="0" fontId="3" fillId="9" borderId="22" xfId="0" applyFont="1" applyFill="1" applyBorder="1" applyAlignment="1">
      <alignment horizontal="left" vertical="center" wrapText="1"/>
    </xf>
    <xf numFmtId="0" fontId="5" fillId="9" borderId="22" xfId="0" applyFont="1" applyFill="1" applyBorder="1" applyAlignment="1">
      <alignment horizontal="left" vertical="center" wrapText="1"/>
    </xf>
    <xf numFmtId="0" fontId="26" fillId="9" borderId="22" xfId="0" applyFont="1" applyFill="1" applyBorder="1" applyAlignment="1">
      <alignment horizontal="left" vertical="center" wrapText="1"/>
    </xf>
    <xf numFmtId="0" fontId="26" fillId="9" borderId="37" xfId="0" applyFont="1" applyFill="1" applyBorder="1" applyAlignment="1">
      <alignment horizontal="left" vertical="center" wrapText="1"/>
    </xf>
    <xf numFmtId="0" fontId="16" fillId="0" borderId="22" xfId="0" applyFont="1" applyBorder="1" applyAlignment="1">
      <alignment horizontal="right" vertical="center" wrapText="1"/>
    </xf>
    <xf numFmtId="0" fontId="43" fillId="13" borderId="53" xfId="0" applyFont="1" applyFill="1" applyBorder="1" applyAlignment="1">
      <alignment horizontal="left" vertical="center" wrapText="1" indent="1"/>
    </xf>
    <xf numFmtId="0" fontId="43" fillId="13" borderId="22" xfId="0" applyFont="1" applyFill="1" applyBorder="1" applyAlignment="1">
      <alignment horizontal="left" vertical="center" wrapText="1" indent="1"/>
    </xf>
    <xf numFmtId="0" fontId="43" fillId="13" borderId="54" xfId="0" applyFont="1" applyFill="1" applyBorder="1" applyAlignment="1">
      <alignment horizontal="left" vertical="center" wrapText="1" indent="1"/>
    </xf>
    <xf numFmtId="0" fontId="45" fillId="9" borderId="59" xfId="1" applyFont="1" applyFill="1" applyBorder="1" applyAlignment="1">
      <alignment horizontal="left" wrapText="1"/>
    </xf>
    <xf numFmtId="0" fontId="26" fillId="12" borderId="61" xfId="1" applyFont="1" applyFill="1" applyBorder="1" applyAlignment="1">
      <alignment horizontal="center" vertical="center" wrapText="1"/>
    </xf>
    <xf numFmtId="0" fontId="26" fillId="12" borderId="62" xfId="1" applyFont="1" applyFill="1" applyBorder="1" applyAlignment="1">
      <alignment horizontal="center" vertical="center" wrapText="1"/>
    </xf>
    <xf numFmtId="0" fontId="26" fillId="12" borderId="63" xfId="1" applyFont="1" applyFill="1" applyBorder="1" applyAlignment="1">
      <alignment horizontal="center" vertical="center" wrapText="1"/>
    </xf>
    <xf numFmtId="0" fontId="26" fillId="12" borderId="64" xfId="1" applyFont="1" applyFill="1" applyBorder="1" applyAlignment="1">
      <alignment horizontal="center" vertical="center" wrapText="1"/>
    </xf>
    <xf numFmtId="0" fontId="26" fillId="12" borderId="65" xfId="1" applyFont="1" applyFill="1" applyBorder="1" applyAlignment="1">
      <alignment horizontal="center" vertical="center" wrapText="1"/>
    </xf>
    <xf numFmtId="0" fontId="26" fillId="12" borderId="66" xfId="1" applyFont="1" applyFill="1" applyBorder="1" applyAlignment="1">
      <alignment horizontal="center" vertical="center" wrapText="1"/>
    </xf>
  </cellXfs>
  <cellStyles count="2">
    <cellStyle name="Normal" xfId="0" builtinId="0"/>
    <cellStyle name="Normal 2" xfId="1" xr:uid="{9E22E3A5-6C23-5E40-B83C-904E9E741364}"/>
  </cellStyles>
  <dxfs count="36">
    <dxf>
      <font>
        <color rgb="FF9C0006"/>
      </font>
      <fill>
        <patternFill>
          <bgColor rgb="FFFFC7CE"/>
        </patternFill>
      </fill>
    </dxf>
    <dxf>
      <font>
        <b/>
        <i val="0"/>
        <color theme="0"/>
      </font>
      <fill>
        <patternFill>
          <bgColor theme="7"/>
        </patternFill>
      </fill>
    </dxf>
    <dxf>
      <font>
        <b/>
        <i val="0"/>
        <color theme="0"/>
      </font>
      <fill>
        <patternFill>
          <bgColor rgb="FF00B050"/>
        </patternFill>
      </fill>
    </dxf>
    <dxf>
      <font>
        <b/>
        <i val="0"/>
        <color theme="0"/>
      </font>
      <fill>
        <patternFill>
          <bgColor rgb="FFFF0000"/>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5"/>
        </patternFill>
      </fill>
    </dxf>
    <dxf>
      <font>
        <b val="0"/>
        <i val="0"/>
        <color theme="0"/>
      </font>
      <fill>
        <patternFill>
          <bgColor theme="7"/>
        </patternFill>
      </fill>
    </dxf>
    <dxf>
      <font>
        <color rgb="FF9C0006"/>
      </font>
      <fill>
        <patternFill>
          <bgColor rgb="FFFFC7CE"/>
        </patternFill>
      </fill>
    </dxf>
    <dxf>
      <font>
        <b/>
        <i val="0"/>
        <color theme="0"/>
      </font>
      <fill>
        <patternFill>
          <bgColor rgb="FF00B050"/>
        </patternFill>
      </fill>
    </dxf>
    <dxf>
      <font>
        <b/>
        <i val="0"/>
        <color theme="0"/>
      </font>
      <fill>
        <patternFill>
          <bgColor theme="6"/>
        </patternFill>
      </fill>
    </dxf>
    <dxf>
      <font>
        <color rgb="FF9C0006"/>
      </font>
      <fill>
        <patternFill>
          <bgColor rgb="FFFFC7CE"/>
        </patternFill>
      </fill>
    </dxf>
    <dxf>
      <font>
        <b val="0"/>
        <i val="0"/>
        <color theme="0"/>
      </font>
      <fill>
        <patternFill>
          <bgColor theme="7"/>
        </patternFill>
      </fill>
    </dxf>
    <dxf>
      <font>
        <b val="0"/>
        <i val="0"/>
        <color theme="0"/>
      </font>
      <fill>
        <patternFill>
          <bgColor theme="7"/>
        </patternFill>
      </fill>
    </dxf>
    <dxf>
      <font>
        <b val="0"/>
        <i val="0"/>
        <color theme="0"/>
      </font>
      <fill>
        <patternFill>
          <bgColor theme="7"/>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b val="0"/>
        <i val="0"/>
        <color theme="0"/>
      </font>
      <fill>
        <patternFill>
          <bgColor theme="7"/>
        </patternFill>
      </fill>
    </dxf>
    <dxf>
      <font>
        <b val="0"/>
        <i val="0"/>
        <color theme="0"/>
      </font>
      <fill>
        <patternFill>
          <bgColor theme="5"/>
        </patternFill>
      </fill>
    </dxf>
    <dxf>
      <font>
        <color rgb="FF86A3BA"/>
      </font>
      <fill>
        <patternFill>
          <bgColor rgb="FFF9FBFF"/>
        </patternFill>
      </fill>
    </dxf>
    <dxf>
      <font>
        <color rgb="FF86A3BA"/>
      </font>
      <fill>
        <patternFill>
          <bgColor rgb="FFF9FBFF"/>
        </patternFill>
      </fill>
    </dxf>
    <dxf>
      <font>
        <color rgb="FF006100"/>
      </font>
      <fill>
        <patternFill>
          <bgColor rgb="FFC6EFCE"/>
        </patternFill>
      </fill>
    </dxf>
  </dxfs>
  <tableStyles count="0" defaultTableStyle="TableStyleMedium2" defaultPivotStyle="PivotStyleLight16"/>
  <colors>
    <mruColors>
      <color rgb="FFE4F1FF"/>
      <color rgb="FF86A3BA"/>
      <color rgb="FFF9FBFF"/>
      <color rgb="FFDCEFFF"/>
      <color rgb="FFD8E2F2"/>
      <color rgb="FFD8D8D8"/>
      <color rgb="FFC0D1FA"/>
      <color rgb="FFB1CFEC"/>
      <color rgb="FF4279A9"/>
      <color rgb="FF8DB6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H$16" lockText="1" noThreeD="1"/>
</file>

<file path=xl/ctrlProps/ctrlProp2.xml><?xml version="1.0" encoding="utf-8"?>
<formControlPr xmlns="http://schemas.microsoft.com/office/spreadsheetml/2009/9/main" objectType="CheckBox" fmlaLink="$H$18" lockText="1" noThreeD="1"/>
</file>

<file path=xl/ctrlProps/ctrlProp3.xml><?xml version="1.0" encoding="utf-8"?>
<formControlPr xmlns="http://schemas.microsoft.com/office/spreadsheetml/2009/9/main" objectType="CheckBox" fmlaLink="$H$20" lockText="1" noThreeD="1"/>
</file>

<file path=xl/ctrlProps/ctrlProp4.xml><?xml version="1.0" encoding="utf-8"?>
<formControlPr xmlns="http://schemas.microsoft.com/office/spreadsheetml/2009/9/main" objectType="CheckBox" fmlaLink="$H$22" lockText="1" noThreeD="1"/>
</file>

<file path=xl/ctrlProps/ctrlProp5.xml><?xml version="1.0" encoding="utf-8"?>
<formControlPr xmlns="http://schemas.microsoft.com/office/spreadsheetml/2009/9/main" objectType="CheckBox" fmlaLink="$H$24" lockText="1" noThreeD="1"/>
</file>

<file path=xl/ctrlProps/ctrlProp6.xml><?xml version="1.0" encoding="utf-8"?>
<formControlPr xmlns="http://schemas.microsoft.com/office/spreadsheetml/2009/9/main" objectType="CheckBox" fmlaLink="$H$35"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352425</xdr:colOff>
      <xdr:row>1</xdr:row>
      <xdr:rowOff>25400</xdr:rowOff>
    </xdr:from>
    <xdr:ext cx="1047750" cy="9525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52425" y="177800"/>
          <a:ext cx="1047750" cy="952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355600</xdr:colOff>
      <xdr:row>0</xdr:row>
      <xdr:rowOff>177800</xdr:rowOff>
    </xdr:from>
    <xdr:ext cx="1047750" cy="952500"/>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xfrm>
          <a:off x="355600" y="177800"/>
          <a:ext cx="1047750" cy="952500"/>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5</xdr:col>
          <xdr:colOff>990600</xdr:colOff>
          <xdr:row>14</xdr:row>
          <xdr:rowOff>177800</xdr:rowOff>
        </xdr:from>
        <xdr:to>
          <xdr:col>6</xdr:col>
          <xdr:colOff>0</xdr:colOff>
          <xdr:row>16</xdr:row>
          <xdr:rowOff>76200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990600</xdr:colOff>
          <xdr:row>16</xdr:row>
          <xdr:rowOff>114300</xdr:rowOff>
        </xdr:from>
        <xdr:to>
          <xdr:col>6</xdr:col>
          <xdr:colOff>0</xdr:colOff>
          <xdr:row>18</xdr:row>
          <xdr:rowOff>38100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990600</xdr:colOff>
          <xdr:row>18</xdr:row>
          <xdr:rowOff>114300</xdr:rowOff>
        </xdr:from>
        <xdr:to>
          <xdr:col>6</xdr:col>
          <xdr:colOff>0</xdr:colOff>
          <xdr:row>20</xdr:row>
          <xdr:rowOff>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990600</xdr:colOff>
          <xdr:row>20</xdr:row>
          <xdr:rowOff>114300</xdr:rowOff>
        </xdr:from>
        <xdr:to>
          <xdr:col>6</xdr:col>
          <xdr:colOff>0</xdr:colOff>
          <xdr:row>22</xdr:row>
          <xdr:rowOff>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990600</xdr:colOff>
          <xdr:row>22</xdr:row>
          <xdr:rowOff>114300</xdr:rowOff>
        </xdr:from>
        <xdr:to>
          <xdr:col>6</xdr:col>
          <xdr:colOff>0</xdr:colOff>
          <xdr:row>24</xdr:row>
          <xdr:rowOff>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990600</xdr:colOff>
          <xdr:row>33</xdr:row>
          <xdr:rowOff>241300</xdr:rowOff>
        </xdr:from>
        <xdr:to>
          <xdr:col>6</xdr:col>
          <xdr:colOff>0</xdr:colOff>
          <xdr:row>35</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0</xdr:col>
      <xdr:colOff>355600</xdr:colOff>
      <xdr:row>0</xdr:row>
      <xdr:rowOff>177800</xdr:rowOff>
    </xdr:from>
    <xdr:ext cx="1047750" cy="9525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355600" y="177800"/>
          <a:ext cx="1047750" cy="9525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AB1020"/>
  <sheetViews>
    <sheetView tabSelected="1" workbookViewId="0">
      <selection activeCell="D79" sqref="D79:N79"/>
    </sheetView>
  </sheetViews>
  <sheetFormatPr baseColWidth="10" defaultColWidth="12.6640625" defaultRowHeight="15.75" customHeight="1" x14ac:dyDescent="0.15"/>
  <cols>
    <col min="1" max="1" width="22.6640625" style="126" customWidth="1"/>
    <col min="2" max="2" width="5.1640625" style="126" customWidth="1"/>
    <col min="3" max="3" width="4.1640625" style="126" customWidth="1"/>
    <col min="4" max="4" width="26" style="126" customWidth="1"/>
    <col min="5" max="5" width="7.1640625" style="126" customWidth="1"/>
    <col min="6" max="14" width="9.5" style="126" customWidth="1"/>
    <col min="15" max="15" width="4.1640625" style="126" customWidth="1"/>
    <col min="16" max="16" width="5.1640625" style="126" customWidth="1"/>
    <col min="17" max="28" width="9.1640625" style="126" customWidth="1"/>
    <col min="29" max="16384" width="12.6640625" style="126"/>
  </cols>
  <sheetData>
    <row r="1" spans="1:28" ht="12" customHeight="1" x14ac:dyDescent="0.15">
      <c r="A1" s="1"/>
      <c r="B1" s="2"/>
      <c r="C1" s="2"/>
      <c r="D1" s="2"/>
      <c r="E1" s="2"/>
      <c r="F1" s="2"/>
      <c r="G1" s="2"/>
      <c r="H1" s="2"/>
      <c r="I1" s="2"/>
      <c r="J1" s="2"/>
      <c r="K1" s="2"/>
      <c r="L1" s="2"/>
      <c r="M1" s="2"/>
      <c r="N1" s="2"/>
      <c r="O1" s="2"/>
      <c r="P1" s="3"/>
      <c r="Q1" s="33"/>
      <c r="R1" s="33"/>
      <c r="S1" s="33"/>
      <c r="T1" s="33"/>
      <c r="U1" s="33"/>
      <c r="V1" s="33"/>
      <c r="W1" s="33"/>
      <c r="X1" s="33"/>
      <c r="Y1" s="34"/>
      <c r="Z1" s="34"/>
      <c r="AA1" s="34"/>
      <c r="AB1" s="34"/>
    </row>
    <row r="2" spans="1:28" ht="27.75" customHeight="1" x14ac:dyDescent="0.2">
      <c r="A2" s="9"/>
      <c r="B2" s="127"/>
      <c r="C2" s="139" t="s">
        <v>0</v>
      </c>
      <c r="D2" s="140"/>
      <c r="E2" s="140"/>
      <c r="F2" s="140"/>
      <c r="G2" s="140"/>
      <c r="H2" s="140"/>
      <c r="I2" s="140"/>
      <c r="J2" s="140"/>
      <c r="K2" s="140"/>
      <c r="L2" s="140"/>
      <c r="M2" s="140"/>
      <c r="N2" s="140"/>
      <c r="O2" s="4"/>
      <c r="P2" s="8"/>
      <c r="Q2" s="35"/>
      <c r="R2" s="35"/>
      <c r="S2" s="35"/>
      <c r="T2" s="35"/>
      <c r="U2" s="35"/>
      <c r="V2" s="35"/>
      <c r="W2" s="35"/>
      <c r="X2" s="35"/>
    </row>
    <row r="3" spans="1:28" ht="36" customHeight="1" x14ac:dyDescent="0.2">
      <c r="A3" s="9"/>
      <c r="B3" s="127"/>
      <c r="C3" s="139" t="s">
        <v>491</v>
      </c>
      <c r="D3" s="140"/>
      <c r="E3" s="140"/>
      <c r="F3" s="140"/>
      <c r="G3" s="140"/>
      <c r="H3" s="140"/>
      <c r="I3" s="140"/>
      <c r="J3" s="140"/>
      <c r="K3" s="140"/>
      <c r="L3" s="140"/>
      <c r="M3" s="140"/>
      <c r="N3" s="140"/>
      <c r="O3" s="5" t="s">
        <v>490</v>
      </c>
      <c r="P3" s="8"/>
      <c r="Q3" s="35"/>
      <c r="R3" s="35"/>
      <c r="S3" s="35"/>
      <c r="T3" s="35"/>
      <c r="U3" s="35"/>
      <c r="V3" s="35"/>
      <c r="W3" s="35"/>
      <c r="X3" s="35"/>
    </row>
    <row r="4" spans="1:28" ht="20.25" customHeight="1" x14ac:dyDescent="0.15">
      <c r="A4" s="6"/>
      <c r="B4" s="3"/>
      <c r="C4" s="141"/>
      <c r="D4" s="247"/>
      <c r="E4" s="248"/>
      <c r="F4" s="248"/>
      <c r="G4" s="248"/>
      <c r="H4" s="248"/>
      <c r="I4" s="248"/>
      <c r="J4" s="248"/>
      <c r="K4" s="248"/>
      <c r="L4" s="248"/>
      <c r="M4" s="248"/>
      <c r="N4" s="248"/>
      <c r="O4" s="37"/>
      <c r="P4" s="3"/>
      <c r="Q4" s="33"/>
      <c r="R4" s="33"/>
      <c r="S4" s="33"/>
      <c r="T4" s="33"/>
      <c r="U4" s="33"/>
      <c r="V4" s="33"/>
      <c r="W4" s="33"/>
      <c r="X4" s="33"/>
      <c r="Y4" s="34"/>
      <c r="Z4" s="34"/>
      <c r="AA4" s="34"/>
      <c r="AB4" s="34"/>
    </row>
    <row r="5" spans="1:28" ht="27.75" customHeight="1" x14ac:dyDescent="0.2">
      <c r="A5" s="7" t="s">
        <v>1</v>
      </c>
      <c r="B5" s="8"/>
      <c r="C5" s="142"/>
      <c r="D5" s="249" t="s">
        <v>109</v>
      </c>
      <c r="E5" s="250"/>
      <c r="F5" s="250"/>
      <c r="G5" s="250"/>
      <c r="H5" s="250"/>
      <c r="I5" s="250"/>
      <c r="J5" s="250"/>
      <c r="K5" s="250"/>
      <c r="L5" s="250"/>
      <c r="M5" s="250"/>
      <c r="N5" s="250"/>
      <c r="O5" s="39"/>
      <c r="P5" s="8"/>
      <c r="Q5" s="35"/>
      <c r="R5" s="35"/>
      <c r="S5" s="35"/>
      <c r="T5" s="35"/>
      <c r="U5" s="35"/>
      <c r="V5" s="35"/>
      <c r="W5" s="35"/>
      <c r="X5" s="35"/>
    </row>
    <row r="6" spans="1:28" ht="16.5" customHeight="1" x14ac:dyDescent="0.2">
      <c r="A6" s="9"/>
      <c r="B6" s="8"/>
      <c r="C6" s="142"/>
      <c r="D6" s="250"/>
      <c r="E6" s="250"/>
      <c r="F6" s="250"/>
      <c r="G6" s="250"/>
      <c r="H6" s="250"/>
      <c r="I6" s="250"/>
      <c r="J6" s="250"/>
      <c r="K6" s="250"/>
      <c r="L6" s="250"/>
      <c r="M6" s="250"/>
      <c r="N6" s="250"/>
      <c r="O6" s="39"/>
      <c r="P6" s="8"/>
      <c r="Q6" s="35"/>
      <c r="R6" s="35"/>
      <c r="S6" s="35"/>
      <c r="T6" s="35"/>
      <c r="U6" s="35"/>
      <c r="V6" s="35"/>
      <c r="W6" s="35"/>
      <c r="X6" s="35"/>
    </row>
    <row r="7" spans="1:28" ht="15" customHeight="1" x14ac:dyDescent="0.2">
      <c r="A7" s="9"/>
      <c r="B7" s="8"/>
      <c r="C7" s="142"/>
      <c r="D7" s="250"/>
      <c r="E7" s="250"/>
      <c r="F7" s="250"/>
      <c r="G7" s="250"/>
      <c r="H7" s="250"/>
      <c r="I7" s="250"/>
      <c r="J7" s="250"/>
      <c r="K7" s="250"/>
      <c r="L7" s="250"/>
      <c r="M7" s="250"/>
      <c r="N7" s="250"/>
      <c r="O7" s="39"/>
      <c r="P7" s="8"/>
      <c r="Q7" s="35"/>
      <c r="R7" s="35"/>
      <c r="S7" s="35"/>
      <c r="T7" s="35"/>
      <c r="U7" s="35"/>
      <c r="V7" s="35"/>
      <c r="W7" s="35"/>
      <c r="X7" s="35"/>
    </row>
    <row r="8" spans="1:28" ht="16.5" customHeight="1" x14ac:dyDescent="0.2">
      <c r="A8" s="9"/>
      <c r="B8" s="8"/>
      <c r="C8" s="145"/>
      <c r="D8" s="145"/>
      <c r="E8" s="145"/>
      <c r="F8" s="145"/>
      <c r="G8" s="145"/>
      <c r="H8" s="145"/>
      <c r="I8" s="145"/>
      <c r="J8" s="145"/>
      <c r="K8" s="145"/>
      <c r="L8" s="145"/>
      <c r="M8" s="145"/>
      <c r="N8" s="145"/>
      <c r="O8" s="40"/>
      <c r="P8" s="8"/>
      <c r="Q8" s="35"/>
      <c r="R8" s="35"/>
      <c r="S8" s="35"/>
      <c r="T8" s="35"/>
      <c r="U8" s="35"/>
      <c r="V8" s="35"/>
      <c r="W8" s="35"/>
      <c r="X8" s="35"/>
    </row>
    <row r="9" spans="1:28" ht="16.5" customHeight="1" x14ac:dyDescent="0.2">
      <c r="A9" s="9"/>
      <c r="B9" s="8"/>
      <c r="C9" s="142"/>
      <c r="D9" s="142"/>
      <c r="E9" s="142"/>
      <c r="F9" s="142"/>
      <c r="G9" s="142"/>
      <c r="H9" s="142"/>
      <c r="I9" s="142"/>
      <c r="J9" s="142"/>
      <c r="K9" s="142"/>
      <c r="L9" s="142"/>
      <c r="M9" s="142"/>
      <c r="N9" s="142"/>
      <c r="O9" s="41"/>
      <c r="P9" s="8"/>
      <c r="Q9" s="35"/>
      <c r="R9" s="35"/>
      <c r="S9" s="35"/>
      <c r="T9" s="35"/>
      <c r="U9" s="35"/>
      <c r="V9" s="35"/>
      <c r="W9" s="35"/>
      <c r="X9" s="35"/>
      <c r="Y9" s="35"/>
      <c r="Z9" s="35"/>
      <c r="AA9" s="35"/>
      <c r="AB9" s="35"/>
    </row>
    <row r="10" spans="1:28" ht="20" customHeight="1" x14ac:dyDescent="0.2">
      <c r="A10" s="7"/>
      <c r="B10" s="8"/>
      <c r="C10" s="142"/>
      <c r="D10" s="251" t="s">
        <v>2</v>
      </c>
      <c r="E10" s="250"/>
      <c r="F10" s="250"/>
      <c r="G10" s="250"/>
      <c r="H10" s="250"/>
      <c r="I10" s="250"/>
      <c r="J10" s="250"/>
      <c r="K10" s="250"/>
      <c r="L10" s="250"/>
      <c r="M10" s="250"/>
      <c r="N10" s="250"/>
      <c r="O10" s="42"/>
      <c r="P10" s="8"/>
      <c r="Q10" s="35"/>
      <c r="R10" s="35"/>
      <c r="S10" s="35"/>
      <c r="T10" s="35"/>
      <c r="U10" s="35"/>
      <c r="V10" s="35"/>
      <c r="W10" s="35"/>
      <c r="X10" s="35"/>
      <c r="Y10" s="35"/>
      <c r="Z10" s="35"/>
      <c r="AA10" s="35"/>
      <c r="AB10" s="35"/>
    </row>
    <row r="11" spans="1:28" ht="18" customHeight="1" x14ac:dyDescent="0.2">
      <c r="A11" s="7"/>
      <c r="B11" s="8"/>
      <c r="C11" s="142"/>
      <c r="D11" s="252" t="s">
        <v>3</v>
      </c>
      <c r="E11" s="250"/>
      <c r="F11" s="250"/>
      <c r="G11" s="250"/>
      <c r="H11" s="250"/>
      <c r="I11" s="250"/>
      <c r="J11" s="250"/>
      <c r="K11" s="250"/>
      <c r="L11" s="250"/>
      <c r="M11" s="250"/>
      <c r="N11" s="250"/>
      <c r="O11" s="42"/>
      <c r="P11" s="8"/>
      <c r="Q11" s="35"/>
      <c r="R11" s="35"/>
      <c r="S11" s="35"/>
      <c r="T11" s="35"/>
      <c r="U11" s="35"/>
      <c r="V11" s="35"/>
      <c r="W11" s="35"/>
      <c r="X11" s="35"/>
      <c r="Y11" s="35"/>
      <c r="Z11" s="35"/>
      <c r="AA11" s="35"/>
      <c r="AB11" s="35"/>
    </row>
    <row r="12" spans="1:28" ht="16.5" customHeight="1" x14ac:dyDescent="0.2">
      <c r="A12" s="7"/>
      <c r="B12" s="8"/>
      <c r="C12" s="142"/>
      <c r="D12" s="250"/>
      <c r="E12" s="250"/>
      <c r="F12" s="250"/>
      <c r="G12" s="250"/>
      <c r="H12" s="250"/>
      <c r="I12" s="250"/>
      <c r="J12" s="250"/>
      <c r="K12" s="250"/>
      <c r="L12" s="250"/>
      <c r="M12" s="250"/>
      <c r="N12" s="250"/>
      <c r="O12" s="42"/>
      <c r="P12" s="8"/>
      <c r="Q12" s="35"/>
      <c r="R12" s="35"/>
      <c r="S12" s="35"/>
      <c r="T12" s="35"/>
      <c r="U12" s="35"/>
      <c r="V12" s="35"/>
      <c r="W12" s="35"/>
      <c r="X12" s="35"/>
      <c r="Y12" s="35"/>
      <c r="Z12" s="35"/>
      <c r="AA12" s="35"/>
      <c r="AB12" s="35"/>
    </row>
    <row r="13" spans="1:28" ht="16.5" customHeight="1" x14ac:dyDescent="0.2">
      <c r="A13" s="7"/>
      <c r="B13" s="8"/>
      <c r="C13" s="148"/>
      <c r="D13" s="149"/>
      <c r="E13" s="150"/>
      <c r="F13" s="150"/>
      <c r="G13" s="150"/>
      <c r="H13" s="150"/>
      <c r="I13" s="150"/>
      <c r="J13" s="150"/>
      <c r="K13" s="150"/>
      <c r="L13" s="150"/>
      <c r="M13" s="150"/>
      <c r="N13" s="150"/>
      <c r="O13" s="41"/>
      <c r="P13" s="8"/>
      <c r="Q13" s="35"/>
      <c r="R13" s="35"/>
      <c r="S13" s="35"/>
      <c r="T13" s="35"/>
      <c r="U13" s="35"/>
      <c r="V13" s="35"/>
      <c r="W13" s="35"/>
      <c r="X13" s="35"/>
      <c r="Y13" s="35"/>
      <c r="Z13" s="35"/>
      <c r="AA13" s="35"/>
      <c r="AB13" s="35"/>
    </row>
    <row r="14" spans="1:28" ht="16.5" customHeight="1" x14ac:dyDescent="0.2">
      <c r="A14" s="7"/>
      <c r="B14" s="8"/>
      <c r="C14" s="148">
        <v>1</v>
      </c>
      <c r="D14" s="149" t="s">
        <v>105</v>
      </c>
      <c r="E14" s="150"/>
      <c r="F14" s="150"/>
      <c r="G14" s="150"/>
      <c r="H14" s="150"/>
      <c r="I14" s="150"/>
      <c r="J14" s="150"/>
      <c r="K14" s="150"/>
      <c r="L14" s="150"/>
      <c r="M14" s="150"/>
      <c r="N14" s="150"/>
      <c r="O14" s="41"/>
      <c r="P14" s="8"/>
      <c r="Q14" s="35"/>
      <c r="R14" s="35"/>
      <c r="S14" s="35"/>
      <c r="T14" s="35"/>
      <c r="U14" s="35"/>
      <c r="V14" s="35"/>
      <c r="W14" s="35"/>
      <c r="X14" s="35"/>
      <c r="Y14" s="35"/>
      <c r="Z14" s="35"/>
      <c r="AA14" s="35"/>
      <c r="AB14" s="35"/>
    </row>
    <row r="15" spans="1:28" ht="16.5" customHeight="1" x14ac:dyDescent="0.2">
      <c r="A15" s="7"/>
      <c r="B15" s="8"/>
      <c r="C15" s="144"/>
      <c r="D15" s="252" t="s">
        <v>454</v>
      </c>
      <c r="E15" s="250"/>
      <c r="F15" s="250"/>
      <c r="G15" s="250"/>
      <c r="H15" s="250"/>
      <c r="I15" s="250"/>
      <c r="J15" s="250"/>
      <c r="K15" s="250"/>
      <c r="L15" s="250"/>
      <c r="M15" s="250"/>
      <c r="N15" s="250"/>
      <c r="O15" s="41"/>
      <c r="P15" s="8"/>
      <c r="Q15" s="35"/>
      <c r="R15" s="35"/>
      <c r="S15" s="35"/>
      <c r="T15" s="35"/>
      <c r="U15" s="35"/>
      <c r="V15" s="35"/>
      <c r="W15" s="35"/>
      <c r="X15" s="35"/>
      <c r="Y15" s="35"/>
      <c r="Z15" s="35"/>
      <c r="AA15" s="35"/>
      <c r="AB15" s="35"/>
    </row>
    <row r="16" spans="1:28" ht="16" customHeight="1" x14ac:dyDescent="0.2">
      <c r="A16" s="7"/>
      <c r="B16" s="8"/>
      <c r="C16" s="148"/>
      <c r="D16" s="250"/>
      <c r="E16" s="250"/>
      <c r="F16" s="250"/>
      <c r="G16" s="250"/>
      <c r="H16" s="250"/>
      <c r="I16" s="250"/>
      <c r="J16" s="250"/>
      <c r="K16" s="250"/>
      <c r="L16" s="250"/>
      <c r="M16" s="250"/>
      <c r="N16" s="250"/>
      <c r="O16" s="41"/>
      <c r="P16" s="8"/>
      <c r="Q16" s="35"/>
      <c r="R16" s="35"/>
      <c r="S16" s="35"/>
      <c r="T16" s="35"/>
      <c r="U16" s="35"/>
      <c r="V16" s="35"/>
      <c r="W16" s="35"/>
      <c r="X16" s="35"/>
      <c r="Y16" s="35"/>
      <c r="Z16" s="35"/>
      <c r="AA16" s="35"/>
      <c r="AB16" s="35"/>
    </row>
    <row r="17" spans="1:28" ht="16.5" customHeight="1" x14ac:dyDescent="0.2">
      <c r="A17" s="7"/>
      <c r="B17" s="8"/>
      <c r="C17" s="148"/>
      <c r="D17" s="146"/>
      <c r="E17" s="150"/>
      <c r="F17" s="150"/>
      <c r="G17" s="150"/>
      <c r="H17" s="150"/>
      <c r="I17" s="150"/>
      <c r="J17" s="150"/>
      <c r="K17" s="150"/>
      <c r="L17" s="150"/>
      <c r="M17" s="150"/>
      <c r="N17" s="150"/>
      <c r="O17" s="41"/>
      <c r="P17" s="8"/>
      <c r="Q17" s="35"/>
      <c r="R17" s="35"/>
      <c r="S17" s="35"/>
      <c r="T17" s="35"/>
      <c r="U17" s="35"/>
      <c r="V17" s="35"/>
      <c r="W17" s="35"/>
      <c r="X17" s="35"/>
      <c r="Y17" s="35"/>
      <c r="Z17" s="35"/>
      <c r="AA17" s="35"/>
      <c r="AB17" s="35"/>
    </row>
    <row r="18" spans="1:28" ht="16.5" customHeight="1" x14ac:dyDescent="0.2">
      <c r="A18" s="7"/>
      <c r="B18" s="8"/>
      <c r="C18" s="148">
        <v>2</v>
      </c>
      <c r="D18" s="151" t="s">
        <v>106</v>
      </c>
      <c r="E18" s="147"/>
      <c r="F18" s="147"/>
      <c r="G18" s="147"/>
      <c r="H18" s="147"/>
      <c r="I18" s="147"/>
      <c r="J18" s="147"/>
      <c r="K18" s="147"/>
      <c r="L18" s="147"/>
      <c r="M18" s="147"/>
      <c r="N18" s="147"/>
      <c r="O18" s="41"/>
      <c r="P18" s="8"/>
      <c r="Q18" s="35"/>
      <c r="R18" s="35"/>
      <c r="S18" s="35"/>
      <c r="T18" s="35"/>
      <c r="U18" s="35"/>
      <c r="V18" s="35"/>
      <c r="W18" s="35"/>
      <c r="X18" s="35"/>
      <c r="Y18" s="35"/>
      <c r="Z18" s="35"/>
      <c r="AA18" s="35"/>
      <c r="AB18" s="35"/>
    </row>
    <row r="19" spans="1:28" ht="16.5" customHeight="1" x14ac:dyDescent="0.2">
      <c r="A19" s="7"/>
      <c r="B19" s="8"/>
      <c r="C19" s="148"/>
      <c r="D19" s="252" t="s">
        <v>458</v>
      </c>
      <c r="E19" s="250"/>
      <c r="F19" s="250"/>
      <c r="G19" s="250"/>
      <c r="H19" s="250"/>
      <c r="I19" s="250"/>
      <c r="J19" s="250"/>
      <c r="K19" s="250"/>
      <c r="L19" s="250"/>
      <c r="M19" s="250"/>
      <c r="N19" s="250"/>
      <c r="O19" s="41"/>
      <c r="P19" s="8"/>
      <c r="Q19" s="35"/>
      <c r="R19" s="35"/>
      <c r="S19" s="35"/>
      <c r="T19" s="35"/>
      <c r="U19" s="35"/>
      <c r="V19" s="35"/>
      <c r="W19" s="35"/>
      <c r="X19" s="35"/>
      <c r="Y19" s="35"/>
      <c r="Z19" s="35"/>
      <c r="AA19" s="35"/>
      <c r="AB19" s="35"/>
    </row>
    <row r="20" spans="1:28" ht="16.5" customHeight="1" x14ac:dyDescent="0.2">
      <c r="A20" s="7"/>
      <c r="B20" s="8"/>
      <c r="C20" s="148"/>
      <c r="D20" s="250"/>
      <c r="E20" s="250"/>
      <c r="F20" s="250"/>
      <c r="G20" s="250"/>
      <c r="H20" s="250"/>
      <c r="I20" s="250"/>
      <c r="J20" s="250"/>
      <c r="K20" s="250"/>
      <c r="L20" s="250"/>
      <c r="M20" s="250"/>
      <c r="N20" s="250"/>
      <c r="O20" s="41"/>
      <c r="P20" s="8"/>
      <c r="Q20" s="35"/>
      <c r="R20" s="35"/>
      <c r="S20" s="35"/>
      <c r="T20" s="35"/>
      <c r="U20" s="35"/>
      <c r="V20" s="35"/>
      <c r="W20" s="35"/>
      <c r="X20" s="35"/>
      <c r="Y20" s="35"/>
      <c r="Z20" s="35"/>
      <c r="AA20" s="35"/>
      <c r="AB20" s="35"/>
    </row>
    <row r="21" spans="1:28" ht="16.5" customHeight="1" x14ac:dyDescent="0.2">
      <c r="A21" s="7"/>
      <c r="B21" s="8"/>
      <c r="C21" s="148"/>
      <c r="D21" s="250"/>
      <c r="E21" s="250"/>
      <c r="F21" s="250"/>
      <c r="G21" s="250"/>
      <c r="H21" s="250"/>
      <c r="I21" s="250"/>
      <c r="J21" s="250"/>
      <c r="K21" s="250"/>
      <c r="L21" s="250"/>
      <c r="M21" s="250"/>
      <c r="N21" s="250"/>
      <c r="O21" s="41"/>
      <c r="P21" s="8"/>
      <c r="Q21" s="35"/>
      <c r="R21" s="35"/>
      <c r="S21" s="35"/>
      <c r="T21" s="35"/>
      <c r="U21" s="35"/>
      <c r="V21" s="35"/>
      <c r="W21" s="35"/>
      <c r="X21" s="35"/>
      <c r="Y21" s="35"/>
      <c r="Z21" s="35"/>
      <c r="AA21" s="35"/>
      <c r="AB21" s="35"/>
    </row>
    <row r="22" spans="1:28" ht="16.5" customHeight="1" x14ac:dyDescent="0.2">
      <c r="A22" s="7"/>
      <c r="B22" s="8"/>
      <c r="C22" s="150"/>
      <c r="D22" s="146"/>
      <c r="E22" s="150"/>
      <c r="F22" s="150"/>
      <c r="G22" s="150"/>
      <c r="H22" s="150"/>
      <c r="I22" s="150"/>
      <c r="J22" s="150"/>
      <c r="K22" s="150"/>
      <c r="L22" s="150"/>
      <c r="M22" s="150"/>
      <c r="N22" s="150"/>
      <c r="O22" s="41"/>
      <c r="P22" s="8"/>
      <c r="Q22" s="35"/>
      <c r="R22" s="35"/>
      <c r="S22" s="35"/>
      <c r="T22" s="35"/>
      <c r="U22" s="35"/>
      <c r="V22" s="35"/>
      <c r="W22" s="35"/>
      <c r="X22" s="35"/>
      <c r="Y22" s="35"/>
      <c r="Z22" s="35"/>
      <c r="AA22" s="35"/>
      <c r="AB22" s="35"/>
    </row>
    <row r="23" spans="1:28" ht="16.5" customHeight="1" x14ac:dyDescent="0.2">
      <c r="A23" s="7"/>
      <c r="B23" s="8"/>
      <c r="C23" s="148">
        <v>3</v>
      </c>
      <c r="D23" s="149" t="s">
        <v>104</v>
      </c>
      <c r="E23" s="150"/>
      <c r="F23" s="150"/>
      <c r="G23" s="150"/>
      <c r="H23" s="150"/>
      <c r="I23" s="150"/>
      <c r="J23" s="150"/>
      <c r="K23" s="150"/>
      <c r="L23" s="150"/>
      <c r="M23" s="150"/>
      <c r="N23" s="150"/>
      <c r="O23" s="41"/>
      <c r="P23" s="8"/>
      <c r="Q23" s="35"/>
      <c r="R23" s="35"/>
      <c r="S23" s="35"/>
      <c r="T23" s="35"/>
      <c r="U23" s="35"/>
      <c r="V23" s="35"/>
      <c r="W23" s="35"/>
      <c r="X23" s="35"/>
      <c r="Y23" s="35"/>
      <c r="Z23" s="35"/>
      <c r="AA23" s="35"/>
      <c r="AB23" s="35"/>
    </row>
    <row r="24" spans="1:28" ht="16.5" customHeight="1" x14ac:dyDescent="0.2">
      <c r="A24" s="7"/>
      <c r="B24" s="8"/>
      <c r="C24" s="144"/>
      <c r="D24" s="252" t="s">
        <v>107</v>
      </c>
      <c r="E24" s="250"/>
      <c r="F24" s="250"/>
      <c r="G24" s="250"/>
      <c r="H24" s="250"/>
      <c r="I24" s="250"/>
      <c r="J24" s="250"/>
      <c r="K24" s="250"/>
      <c r="L24" s="250"/>
      <c r="M24" s="250"/>
      <c r="N24" s="250"/>
      <c r="O24" s="41"/>
      <c r="P24" s="8"/>
      <c r="Q24" s="35"/>
      <c r="R24" s="35"/>
      <c r="S24" s="35"/>
      <c r="T24" s="35"/>
      <c r="U24" s="35"/>
      <c r="V24" s="35"/>
      <c r="W24" s="35"/>
      <c r="X24" s="35"/>
      <c r="Y24" s="35"/>
      <c r="Z24" s="35"/>
      <c r="AA24" s="35"/>
      <c r="AB24" s="35"/>
    </row>
    <row r="25" spans="1:28" ht="16.5" customHeight="1" x14ac:dyDescent="0.2">
      <c r="A25" s="7"/>
      <c r="B25" s="8"/>
      <c r="C25" s="150"/>
      <c r="D25" s="250"/>
      <c r="E25" s="250"/>
      <c r="F25" s="250"/>
      <c r="G25" s="250"/>
      <c r="H25" s="250"/>
      <c r="I25" s="250"/>
      <c r="J25" s="250"/>
      <c r="K25" s="250"/>
      <c r="L25" s="250"/>
      <c r="M25" s="250"/>
      <c r="N25" s="250"/>
      <c r="O25" s="41"/>
      <c r="P25" s="8"/>
      <c r="Q25" s="35"/>
      <c r="R25" s="35"/>
      <c r="S25" s="35"/>
      <c r="T25" s="35"/>
      <c r="U25" s="35"/>
      <c r="V25" s="35"/>
      <c r="W25" s="35"/>
      <c r="X25" s="35"/>
      <c r="Y25" s="35"/>
      <c r="Z25" s="35"/>
      <c r="AA25" s="35"/>
      <c r="AB25" s="35"/>
    </row>
    <row r="26" spans="1:28" ht="16.5" customHeight="1" x14ac:dyDescent="0.2">
      <c r="A26" s="7"/>
      <c r="B26" s="125"/>
      <c r="C26" s="150"/>
      <c r="D26" s="144"/>
      <c r="E26" s="144"/>
      <c r="F26" s="144"/>
      <c r="G26" s="144"/>
      <c r="H26" s="144"/>
      <c r="I26" s="144"/>
      <c r="J26" s="144"/>
      <c r="K26" s="144"/>
      <c r="L26" s="144"/>
      <c r="M26" s="144"/>
      <c r="N26" s="144"/>
      <c r="O26" s="41"/>
      <c r="P26" s="125"/>
      <c r="Q26" s="35"/>
      <c r="R26" s="35"/>
      <c r="S26" s="35"/>
      <c r="T26" s="35"/>
      <c r="U26" s="35"/>
      <c r="V26" s="35"/>
      <c r="W26" s="35"/>
      <c r="X26" s="35"/>
      <c r="Y26" s="35"/>
      <c r="Z26" s="35"/>
      <c r="AA26" s="35"/>
      <c r="AB26" s="35"/>
    </row>
    <row r="27" spans="1:28" ht="16.5" customHeight="1" x14ac:dyDescent="0.2">
      <c r="A27" s="7"/>
      <c r="B27" s="125"/>
      <c r="C27" s="148">
        <v>4</v>
      </c>
      <c r="D27" s="149" t="s">
        <v>112</v>
      </c>
      <c r="E27" s="144"/>
      <c r="F27" s="144"/>
      <c r="G27" s="144"/>
      <c r="H27" s="144"/>
      <c r="I27" s="144"/>
      <c r="J27" s="144"/>
      <c r="K27" s="144"/>
      <c r="L27" s="144"/>
      <c r="M27" s="144"/>
      <c r="N27" s="144"/>
      <c r="O27" s="41"/>
      <c r="P27" s="125"/>
      <c r="Q27" s="35"/>
      <c r="R27" s="35"/>
      <c r="S27" s="35"/>
      <c r="T27" s="35"/>
      <c r="U27" s="35"/>
      <c r="V27" s="35"/>
      <c r="W27" s="35"/>
      <c r="X27" s="35"/>
      <c r="Y27" s="35"/>
      <c r="Z27" s="35"/>
      <c r="AA27" s="35"/>
      <c r="AB27" s="35"/>
    </row>
    <row r="28" spans="1:28" ht="16.5" customHeight="1" x14ac:dyDescent="0.2">
      <c r="A28" s="7"/>
      <c r="B28" s="125"/>
      <c r="C28" s="150"/>
      <c r="D28" s="252" t="s">
        <v>108</v>
      </c>
      <c r="E28" s="250"/>
      <c r="F28" s="250"/>
      <c r="G28" s="250"/>
      <c r="H28" s="250"/>
      <c r="I28" s="250"/>
      <c r="J28" s="250"/>
      <c r="K28" s="250"/>
      <c r="L28" s="250"/>
      <c r="M28" s="250"/>
      <c r="N28" s="250"/>
      <c r="O28" s="41"/>
      <c r="P28" s="125"/>
      <c r="Q28" s="35"/>
      <c r="R28" s="35"/>
      <c r="S28" s="35"/>
      <c r="T28" s="35"/>
      <c r="U28" s="35"/>
      <c r="V28" s="35"/>
      <c r="W28" s="35"/>
      <c r="X28" s="35"/>
      <c r="Y28" s="35"/>
      <c r="Z28" s="35"/>
      <c r="AA28" s="35"/>
      <c r="AB28" s="35"/>
    </row>
    <row r="29" spans="1:28" ht="16.5" customHeight="1" x14ac:dyDescent="0.2">
      <c r="A29" s="7"/>
      <c r="B29" s="125"/>
      <c r="C29" s="150"/>
      <c r="D29" s="250"/>
      <c r="E29" s="250"/>
      <c r="F29" s="250"/>
      <c r="G29" s="250"/>
      <c r="H29" s="250"/>
      <c r="I29" s="250"/>
      <c r="J29" s="250"/>
      <c r="K29" s="250"/>
      <c r="L29" s="250"/>
      <c r="M29" s="250"/>
      <c r="N29" s="250"/>
      <c r="O29" s="41"/>
      <c r="P29" s="125"/>
      <c r="Q29" s="35"/>
      <c r="R29" s="35"/>
      <c r="S29" s="35"/>
      <c r="T29" s="35"/>
      <c r="U29" s="35"/>
      <c r="V29" s="35"/>
      <c r="W29" s="35"/>
      <c r="X29" s="35"/>
      <c r="Y29" s="35"/>
      <c r="Z29" s="35"/>
      <c r="AA29" s="35"/>
      <c r="AB29" s="35"/>
    </row>
    <row r="30" spans="1:28" ht="16.5" customHeight="1" x14ac:dyDescent="0.2">
      <c r="A30" s="7"/>
      <c r="B30" s="125"/>
      <c r="C30" s="150"/>
      <c r="D30" s="152" t="s">
        <v>130</v>
      </c>
      <c r="E30" s="144"/>
      <c r="F30" s="144"/>
      <c r="G30" s="144"/>
      <c r="H30" s="144"/>
      <c r="I30" s="144"/>
      <c r="J30" s="144"/>
      <c r="K30" s="144"/>
      <c r="L30" s="144"/>
      <c r="M30" s="144"/>
      <c r="N30" s="144"/>
      <c r="O30" s="41"/>
      <c r="P30" s="125"/>
      <c r="Q30" s="35"/>
      <c r="R30" s="35"/>
      <c r="S30" s="35"/>
      <c r="T30" s="35"/>
      <c r="U30" s="35"/>
      <c r="V30" s="35"/>
      <c r="W30" s="35"/>
      <c r="X30" s="35"/>
      <c r="Y30" s="35"/>
      <c r="Z30" s="35"/>
      <c r="AA30" s="35"/>
      <c r="AB30" s="35"/>
    </row>
    <row r="31" spans="1:28" ht="16.5" customHeight="1" x14ac:dyDescent="0.2">
      <c r="A31" s="7"/>
      <c r="B31" s="125"/>
      <c r="C31" s="150"/>
      <c r="D31" s="144"/>
      <c r="E31" s="144"/>
      <c r="F31" s="144"/>
      <c r="G31" s="144"/>
      <c r="H31" s="144"/>
      <c r="I31" s="144"/>
      <c r="J31" s="144"/>
      <c r="K31" s="144"/>
      <c r="L31" s="144"/>
      <c r="M31" s="144"/>
      <c r="N31" s="144"/>
      <c r="O31" s="41"/>
      <c r="P31" s="125"/>
      <c r="Q31" s="35"/>
      <c r="R31" s="35"/>
      <c r="S31" s="35"/>
      <c r="T31" s="35"/>
      <c r="U31" s="35"/>
      <c r="V31" s="35"/>
      <c r="W31" s="35"/>
      <c r="X31" s="35"/>
      <c r="Y31" s="35"/>
      <c r="Z31" s="35"/>
      <c r="AA31" s="35"/>
      <c r="AB31" s="35"/>
    </row>
    <row r="32" spans="1:28" ht="16.5" customHeight="1" x14ac:dyDescent="0.2">
      <c r="A32" s="7"/>
      <c r="B32" s="125"/>
      <c r="C32" s="148">
        <v>5</v>
      </c>
      <c r="D32" s="149" t="s">
        <v>113</v>
      </c>
      <c r="E32" s="144"/>
      <c r="F32" s="144"/>
      <c r="G32" s="144"/>
      <c r="H32" s="144"/>
      <c r="I32" s="144"/>
      <c r="J32" s="144"/>
      <c r="K32" s="144"/>
      <c r="L32" s="144"/>
      <c r="M32" s="144"/>
      <c r="N32" s="144"/>
      <c r="O32" s="41"/>
      <c r="P32" s="125"/>
      <c r="Q32" s="35"/>
      <c r="R32" s="35"/>
      <c r="S32" s="35"/>
      <c r="T32" s="35"/>
      <c r="U32" s="35"/>
      <c r="V32" s="35"/>
      <c r="W32" s="35"/>
      <c r="X32" s="35"/>
      <c r="Y32" s="35"/>
      <c r="Z32" s="35"/>
      <c r="AA32" s="35"/>
      <c r="AB32" s="35"/>
    </row>
    <row r="33" spans="1:28" ht="16.5" customHeight="1" x14ac:dyDescent="0.2">
      <c r="A33" s="7"/>
      <c r="B33" s="125"/>
      <c r="C33" s="148"/>
      <c r="D33" s="252" t="s">
        <v>455</v>
      </c>
      <c r="E33" s="250"/>
      <c r="F33" s="250"/>
      <c r="G33" s="250"/>
      <c r="H33" s="250"/>
      <c r="I33" s="250"/>
      <c r="J33" s="250"/>
      <c r="K33" s="250"/>
      <c r="L33" s="250"/>
      <c r="M33" s="250"/>
      <c r="N33" s="250"/>
      <c r="O33" s="41"/>
      <c r="P33" s="125"/>
      <c r="Q33" s="35"/>
      <c r="R33" s="35"/>
      <c r="S33" s="35"/>
      <c r="T33" s="35"/>
      <c r="U33" s="35"/>
      <c r="V33" s="35"/>
      <c r="W33" s="35"/>
      <c r="X33" s="35"/>
      <c r="Y33" s="35"/>
      <c r="Z33" s="35"/>
      <c r="AA33" s="35"/>
      <c r="AB33" s="35"/>
    </row>
    <row r="34" spans="1:28" ht="16.5" customHeight="1" x14ac:dyDescent="0.2">
      <c r="A34" s="7"/>
      <c r="B34" s="8"/>
      <c r="C34" s="150"/>
      <c r="D34" s="250"/>
      <c r="E34" s="250"/>
      <c r="F34" s="250"/>
      <c r="G34" s="250"/>
      <c r="H34" s="250"/>
      <c r="I34" s="250"/>
      <c r="J34" s="250"/>
      <c r="K34" s="250"/>
      <c r="L34" s="250"/>
      <c r="M34" s="250"/>
      <c r="N34" s="250"/>
      <c r="O34" s="41"/>
      <c r="P34" s="8"/>
      <c r="Q34" s="35"/>
      <c r="R34" s="35"/>
      <c r="S34" s="35"/>
      <c r="T34" s="35"/>
      <c r="U34" s="35"/>
      <c r="V34" s="35"/>
      <c r="W34" s="35"/>
      <c r="X34" s="35"/>
      <c r="Y34" s="35"/>
      <c r="Z34" s="35"/>
      <c r="AA34" s="35"/>
      <c r="AB34" s="35"/>
    </row>
    <row r="35" spans="1:28" ht="16.5" customHeight="1" x14ac:dyDescent="0.2">
      <c r="A35" s="7"/>
      <c r="B35" s="125"/>
      <c r="C35" s="150"/>
      <c r="D35" s="152" t="s">
        <v>110</v>
      </c>
      <c r="E35" s="144"/>
      <c r="F35" s="144"/>
      <c r="G35" s="144"/>
      <c r="H35" s="144"/>
      <c r="I35" s="144"/>
      <c r="J35" s="144"/>
      <c r="K35" s="144"/>
      <c r="L35" s="144"/>
      <c r="M35" s="144"/>
      <c r="N35" s="144"/>
      <c r="O35" s="41"/>
      <c r="P35" s="125"/>
      <c r="Q35" s="35"/>
      <c r="R35" s="35"/>
      <c r="S35" s="35"/>
      <c r="T35" s="35"/>
      <c r="U35" s="35"/>
      <c r="V35" s="35"/>
      <c r="W35" s="35"/>
      <c r="X35" s="35"/>
      <c r="Y35" s="35"/>
      <c r="Z35" s="35"/>
      <c r="AA35" s="35"/>
      <c r="AB35" s="35"/>
    </row>
    <row r="36" spans="1:28" ht="16.5" customHeight="1" x14ac:dyDescent="0.2">
      <c r="A36" s="7"/>
      <c r="B36" s="125"/>
      <c r="C36" s="150"/>
      <c r="D36" s="152" t="s">
        <v>111</v>
      </c>
      <c r="E36" s="144"/>
      <c r="F36" s="144"/>
      <c r="G36" s="144"/>
      <c r="H36" s="144"/>
      <c r="I36" s="144"/>
      <c r="J36" s="144"/>
      <c r="K36" s="144"/>
      <c r="L36" s="144"/>
      <c r="M36" s="144"/>
      <c r="N36" s="144"/>
      <c r="O36" s="41"/>
      <c r="P36" s="125"/>
      <c r="Q36" s="35"/>
      <c r="R36" s="35"/>
      <c r="S36" s="35"/>
      <c r="T36" s="35"/>
      <c r="U36" s="35"/>
      <c r="V36" s="35"/>
      <c r="W36" s="35"/>
      <c r="X36" s="35"/>
      <c r="Y36" s="35"/>
      <c r="Z36" s="35"/>
      <c r="AA36" s="35"/>
      <c r="AB36" s="35"/>
    </row>
    <row r="37" spans="1:28" ht="16.5" customHeight="1" x14ac:dyDescent="0.2">
      <c r="A37" s="7"/>
      <c r="B37" s="125"/>
      <c r="C37" s="150"/>
      <c r="D37" s="144"/>
      <c r="E37" s="144"/>
      <c r="F37" s="144"/>
      <c r="G37" s="144"/>
      <c r="H37" s="144"/>
      <c r="I37" s="144"/>
      <c r="J37" s="144"/>
      <c r="K37" s="144"/>
      <c r="L37" s="144"/>
      <c r="M37" s="144"/>
      <c r="N37" s="144"/>
      <c r="O37" s="41"/>
      <c r="P37" s="125"/>
      <c r="Q37" s="35"/>
      <c r="R37" s="35"/>
      <c r="S37" s="35"/>
      <c r="T37" s="35"/>
      <c r="U37" s="35"/>
      <c r="V37" s="35"/>
      <c r="W37" s="35"/>
      <c r="X37" s="35"/>
      <c r="Y37" s="35"/>
      <c r="Z37" s="35"/>
      <c r="AA37" s="35"/>
      <c r="AB37" s="35"/>
    </row>
    <row r="38" spans="1:28" ht="20" customHeight="1" x14ac:dyDescent="0.2">
      <c r="A38" s="7"/>
      <c r="B38" s="8"/>
      <c r="C38" s="150"/>
      <c r="D38" s="251" t="s">
        <v>456</v>
      </c>
      <c r="E38" s="250"/>
      <c r="F38" s="250"/>
      <c r="G38" s="250"/>
      <c r="H38" s="250"/>
      <c r="I38" s="250"/>
      <c r="J38" s="250"/>
      <c r="K38" s="250"/>
      <c r="L38" s="250"/>
      <c r="M38" s="250"/>
      <c r="N38" s="250"/>
      <c r="O38" s="41"/>
      <c r="P38" s="8"/>
      <c r="Q38" s="35"/>
      <c r="R38" s="35"/>
      <c r="S38" s="35"/>
      <c r="T38" s="35"/>
      <c r="U38" s="35"/>
      <c r="V38" s="35"/>
      <c r="W38" s="35"/>
      <c r="X38" s="35"/>
      <c r="Y38" s="35"/>
      <c r="Z38" s="35"/>
      <c r="AA38" s="35"/>
      <c r="AB38" s="35"/>
    </row>
    <row r="39" spans="1:28" ht="16.5" customHeight="1" x14ac:dyDescent="0.2">
      <c r="A39" s="7"/>
      <c r="B39" s="8"/>
      <c r="C39" s="150"/>
      <c r="D39" s="252" t="s">
        <v>459</v>
      </c>
      <c r="E39" s="250"/>
      <c r="F39" s="250"/>
      <c r="G39" s="250"/>
      <c r="H39" s="250"/>
      <c r="I39" s="250"/>
      <c r="J39" s="250"/>
      <c r="K39" s="250"/>
      <c r="L39" s="250"/>
      <c r="M39" s="250"/>
      <c r="N39" s="250"/>
      <c r="O39" s="41"/>
      <c r="P39" s="8"/>
      <c r="Q39" s="35"/>
      <c r="R39" s="35"/>
      <c r="S39" s="35"/>
      <c r="T39" s="35"/>
      <c r="U39" s="35"/>
      <c r="V39" s="35"/>
      <c r="W39" s="35"/>
      <c r="X39" s="35"/>
      <c r="Y39" s="35"/>
      <c r="Z39" s="35"/>
      <c r="AA39" s="35"/>
      <c r="AB39" s="35"/>
    </row>
    <row r="40" spans="1:28" ht="16.5" customHeight="1" x14ac:dyDescent="0.2">
      <c r="A40" s="7"/>
      <c r="B40" s="8"/>
      <c r="C40" s="150"/>
      <c r="D40" s="250"/>
      <c r="E40" s="250"/>
      <c r="F40" s="250"/>
      <c r="G40" s="250"/>
      <c r="H40" s="250"/>
      <c r="I40" s="250"/>
      <c r="J40" s="250"/>
      <c r="K40" s="250"/>
      <c r="L40" s="250"/>
      <c r="M40" s="250"/>
      <c r="N40" s="250"/>
      <c r="O40" s="41"/>
      <c r="P40" s="8"/>
      <c r="Q40" s="35"/>
      <c r="R40" s="35"/>
      <c r="S40" s="35"/>
      <c r="T40" s="35"/>
      <c r="U40" s="35"/>
      <c r="V40" s="35"/>
      <c r="W40" s="35"/>
      <c r="X40" s="35"/>
      <c r="Y40" s="35"/>
      <c r="Z40" s="35"/>
      <c r="AA40" s="35"/>
      <c r="AB40" s="35"/>
    </row>
    <row r="41" spans="1:28" ht="16.5" customHeight="1" x14ac:dyDescent="0.2">
      <c r="A41" s="7"/>
      <c r="B41" s="8"/>
      <c r="C41" s="150"/>
      <c r="D41" s="250"/>
      <c r="E41" s="250"/>
      <c r="F41" s="250"/>
      <c r="G41" s="250"/>
      <c r="H41" s="250"/>
      <c r="I41" s="250"/>
      <c r="J41" s="250"/>
      <c r="K41" s="250"/>
      <c r="L41" s="250"/>
      <c r="M41" s="250"/>
      <c r="N41" s="250"/>
      <c r="O41" s="41"/>
      <c r="P41" s="8"/>
      <c r="Q41" s="35"/>
      <c r="R41" s="35"/>
      <c r="S41" s="35"/>
      <c r="T41" s="35"/>
      <c r="U41" s="35"/>
      <c r="V41" s="35"/>
      <c r="W41" s="35"/>
      <c r="X41" s="35"/>
      <c r="Y41" s="35"/>
      <c r="Z41" s="35"/>
      <c r="AA41" s="35"/>
      <c r="AB41" s="35"/>
    </row>
    <row r="42" spans="1:28" ht="20" customHeight="1" x14ac:dyDescent="0.2">
      <c r="A42" s="7"/>
      <c r="B42" s="8"/>
      <c r="C42" s="150"/>
      <c r="D42" s="153" t="s">
        <v>4</v>
      </c>
      <c r="E42" s="150"/>
      <c r="F42" s="150"/>
      <c r="G42" s="150"/>
      <c r="H42" s="150"/>
      <c r="I42" s="150"/>
      <c r="J42" s="150"/>
      <c r="K42" s="150"/>
      <c r="L42" s="150"/>
      <c r="M42" s="150"/>
      <c r="N42" s="150"/>
      <c r="O42" s="41"/>
      <c r="P42" s="8"/>
      <c r="Q42" s="35"/>
      <c r="R42" s="35"/>
      <c r="S42" s="35"/>
      <c r="T42" s="35"/>
      <c r="U42" s="35"/>
      <c r="V42" s="35"/>
      <c r="W42" s="35"/>
      <c r="X42" s="35"/>
      <c r="Y42" s="35"/>
      <c r="Z42" s="35"/>
      <c r="AA42" s="35"/>
      <c r="AB42" s="35"/>
    </row>
    <row r="43" spans="1:28" ht="16.5" customHeight="1" x14ac:dyDescent="0.2">
      <c r="A43" s="7"/>
      <c r="B43" s="8"/>
      <c r="C43" s="150"/>
      <c r="D43" s="253" t="s">
        <v>5</v>
      </c>
      <c r="E43" s="250"/>
      <c r="F43" s="250"/>
      <c r="G43" s="250"/>
      <c r="H43" s="250"/>
      <c r="I43" s="250"/>
      <c r="J43" s="250"/>
      <c r="K43" s="250"/>
      <c r="L43" s="250"/>
      <c r="M43" s="250"/>
      <c r="N43" s="250"/>
      <c r="O43" s="41"/>
      <c r="P43" s="8"/>
      <c r="Q43" s="35"/>
      <c r="R43" s="35"/>
      <c r="S43" s="35"/>
      <c r="T43" s="35"/>
      <c r="U43" s="35"/>
      <c r="V43" s="35"/>
      <c r="W43" s="35"/>
      <c r="X43" s="35"/>
      <c r="Y43" s="35"/>
      <c r="Z43" s="35"/>
      <c r="AA43" s="35"/>
      <c r="AB43" s="35"/>
    </row>
    <row r="44" spans="1:28" ht="31.5" customHeight="1" x14ac:dyDescent="0.2">
      <c r="A44" s="7"/>
      <c r="B44" s="8"/>
      <c r="C44" s="142"/>
      <c r="D44" s="252" t="s">
        <v>6</v>
      </c>
      <c r="E44" s="250"/>
      <c r="F44" s="250"/>
      <c r="G44" s="250"/>
      <c r="H44" s="250"/>
      <c r="I44" s="250"/>
      <c r="J44" s="250"/>
      <c r="K44" s="250"/>
      <c r="L44" s="250"/>
      <c r="M44" s="250"/>
      <c r="N44" s="250"/>
      <c r="O44" s="42"/>
      <c r="P44" s="8"/>
      <c r="Q44" s="35"/>
      <c r="R44" s="35"/>
      <c r="S44" s="35"/>
      <c r="T44" s="35"/>
      <c r="U44" s="35"/>
      <c r="V44" s="35"/>
      <c r="W44" s="35"/>
      <c r="X44" s="35"/>
      <c r="Y44" s="35"/>
      <c r="Z44" s="35"/>
      <c r="AA44" s="35"/>
      <c r="AB44" s="35"/>
    </row>
    <row r="45" spans="1:28" ht="16.5" customHeight="1" x14ac:dyDescent="0.2">
      <c r="A45" s="7"/>
      <c r="B45" s="8"/>
      <c r="C45" s="150"/>
      <c r="D45" s="150"/>
      <c r="E45" s="150"/>
      <c r="F45" s="150"/>
      <c r="G45" s="150"/>
      <c r="H45" s="150"/>
      <c r="I45" s="150"/>
      <c r="J45" s="150"/>
      <c r="K45" s="150"/>
      <c r="L45" s="150"/>
      <c r="M45" s="150"/>
      <c r="N45" s="150"/>
      <c r="O45" s="41"/>
      <c r="P45" s="8"/>
      <c r="Q45" s="35"/>
      <c r="R45" s="35"/>
      <c r="S45" s="35"/>
      <c r="T45" s="35"/>
      <c r="U45" s="35"/>
      <c r="V45" s="35"/>
      <c r="W45" s="35"/>
      <c r="X45" s="35"/>
      <c r="Y45" s="35"/>
      <c r="Z45" s="35"/>
      <c r="AA45" s="35"/>
      <c r="AB45" s="35"/>
    </row>
    <row r="46" spans="1:28" ht="19.5" customHeight="1" x14ac:dyDescent="0.2">
      <c r="A46" s="7"/>
      <c r="B46" s="8"/>
      <c r="C46" s="150"/>
      <c r="D46" s="254" t="s">
        <v>473</v>
      </c>
      <c r="E46" s="255"/>
      <c r="F46" s="255"/>
      <c r="G46" s="255"/>
      <c r="H46" s="255"/>
      <c r="I46" s="255"/>
      <c r="J46" s="255"/>
      <c r="K46" s="255"/>
      <c r="L46" s="255"/>
      <c r="M46" s="255"/>
      <c r="N46" s="255"/>
      <c r="O46" s="41"/>
      <c r="P46" s="8"/>
      <c r="Q46" s="35"/>
      <c r="R46" s="35"/>
      <c r="S46" s="35"/>
      <c r="T46" s="35"/>
      <c r="U46" s="35"/>
      <c r="V46" s="35"/>
      <c r="W46" s="35"/>
      <c r="X46" s="35"/>
      <c r="Y46" s="35"/>
      <c r="Z46" s="35"/>
      <c r="AA46" s="35"/>
      <c r="AB46" s="35"/>
    </row>
    <row r="47" spans="1:28" ht="16.5" customHeight="1" x14ac:dyDescent="0.2">
      <c r="A47" s="7"/>
      <c r="B47" s="8"/>
      <c r="C47" s="142"/>
      <c r="D47" s="252" t="s">
        <v>7</v>
      </c>
      <c r="E47" s="250"/>
      <c r="F47" s="250"/>
      <c r="G47" s="250"/>
      <c r="H47" s="250"/>
      <c r="I47" s="250"/>
      <c r="J47" s="250"/>
      <c r="K47" s="250"/>
      <c r="L47" s="250"/>
      <c r="M47" s="250"/>
      <c r="N47" s="250"/>
      <c r="O47" s="41"/>
      <c r="P47" s="8"/>
      <c r="Q47" s="35"/>
      <c r="R47" s="35"/>
      <c r="S47" s="35"/>
      <c r="T47" s="35"/>
      <c r="U47" s="35"/>
      <c r="V47" s="35"/>
      <c r="W47" s="35"/>
      <c r="X47" s="35"/>
      <c r="Y47" s="35"/>
      <c r="Z47" s="35"/>
      <c r="AA47" s="35"/>
      <c r="AB47" s="35"/>
    </row>
    <row r="48" spans="1:28" ht="32.25" customHeight="1" x14ac:dyDescent="0.2">
      <c r="A48" s="7"/>
      <c r="B48" s="8"/>
      <c r="C48" s="150"/>
      <c r="D48" s="250"/>
      <c r="E48" s="250"/>
      <c r="F48" s="250"/>
      <c r="G48" s="250"/>
      <c r="H48" s="250"/>
      <c r="I48" s="250"/>
      <c r="J48" s="250"/>
      <c r="K48" s="250"/>
      <c r="L48" s="250"/>
      <c r="M48" s="250"/>
      <c r="N48" s="250"/>
      <c r="O48" s="41"/>
      <c r="P48" s="8"/>
      <c r="Q48" s="35"/>
      <c r="R48" s="35"/>
      <c r="S48" s="35"/>
      <c r="T48" s="35"/>
      <c r="U48" s="35"/>
      <c r="V48" s="35"/>
      <c r="W48" s="35"/>
      <c r="X48" s="35"/>
      <c r="Y48" s="35"/>
      <c r="Z48" s="35"/>
      <c r="AA48" s="35"/>
      <c r="AB48" s="35"/>
    </row>
    <row r="49" spans="1:28" ht="16.5" customHeight="1" x14ac:dyDescent="0.2">
      <c r="A49" s="7"/>
      <c r="B49" s="8"/>
      <c r="C49" s="142"/>
      <c r="D49" s="150"/>
      <c r="E49" s="150"/>
      <c r="F49" s="150"/>
      <c r="G49" s="150"/>
      <c r="H49" s="150"/>
      <c r="I49" s="150"/>
      <c r="J49" s="150"/>
      <c r="K49" s="150"/>
      <c r="L49" s="150"/>
      <c r="M49" s="150"/>
      <c r="N49" s="150"/>
      <c r="O49" s="41"/>
      <c r="P49" s="8"/>
      <c r="Q49" s="35"/>
      <c r="R49" s="35"/>
      <c r="S49" s="35"/>
      <c r="T49" s="35"/>
      <c r="U49" s="35"/>
      <c r="V49" s="35"/>
      <c r="W49" s="35"/>
      <c r="X49" s="35"/>
      <c r="Y49" s="35"/>
      <c r="Z49" s="35"/>
      <c r="AA49" s="35"/>
      <c r="AB49" s="35"/>
    </row>
    <row r="50" spans="1:28" ht="19" customHeight="1" x14ac:dyDescent="0.2">
      <c r="A50" s="7"/>
      <c r="B50" s="8"/>
      <c r="C50" s="150"/>
      <c r="D50" s="254" t="s">
        <v>8</v>
      </c>
      <c r="E50" s="255"/>
      <c r="F50" s="255"/>
      <c r="G50" s="255"/>
      <c r="H50" s="255"/>
      <c r="I50" s="255"/>
      <c r="J50" s="255"/>
      <c r="K50" s="255"/>
      <c r="L50" s="255"/>
      <c r="M50" s="255"/>
      <c r="N50" s="255"/>
      <c r="O50" s="42"/>
      <c r="P50" s="8"/>
      <c r="Q50" s="35"/>
      <c r="R50" s="35"/>
      <c r="S50" s="35"/>
      <c r="T50" s="35"/>
      <c r="U50" s="35"/>
      <c r="V50" s="35"/>
      <c r="W50" s="35"/>
      <c r="X50" s="35"/>
      <c r="Y50" s="35"/>
      <c r="Z50" s="35"/>
      <c r="AA50" s="35"/>
      <c r="AB50" s="35"/>
    </row>
    <row r="51" spans="1:28" ht="36" customHeight="1" x14ac:dyDescent="0.2">
      <c r="A51" s="7"/>
      <c r="B51" s="8"/>
      <c r="C51" s="142"/>
      <c r="D51" s="252" t="s">
        <v>9</v>
      </c>
      <c r="E51" s="250"/>
      <c r="F51" s="250"/>
      <c r="G51" s="250"/>
      <c r="H51" s="250"/>
      <c r="I51" s="250"/>
      <c r="J51" s="250"/>
      <c r="K51" s="250"/>
      <c r="L51" s="250"/>
      <c r="M51" s="250"/>
      <c r="N51" s="250"/>
      <c r="O51" s="42"/>
      <c r="P51" s="8"/>
      <c r="Q51" s="35"/>
      <c r="R51" s="35"/>
      <c r="S51" s="35"/>
      <c r="T51" s="35"/>
      <c r="U51" s="35"/>
      <c r="V51" s="35"/>
      <c r="W51" s="35"/>
      <c r="X51" s="35"/>
      <c r="Y51" s="35"/>
      <c r="Z51" s="35"/>
      <c r="AA51" s="35"/>
      <c r="AB51" s="35"/>
    </row>
    <row r="52" spans="1:28" ht="16.5" customHeight="1" x14ac:dyDescent="0.2">
      <c r="A52" s="7"/>
      <c r="B52" s="8"/>
      <c r="C52" s="142"/>
      <c r="D52" s="150"/>
      <c r="E52" s="150"/>
      <c r="F52" s="150"/>
      <c r="G52" s="150"/>
      <c r="H52" s="150"/>
      <c r="I52" s="150"/>
      <c r="J52" s="150"/>
      <c r="K52" s="150"/>
      <c r="L52" s="150"/>
      <c r="M52" s="150"/>
      <c r="N52" s="150"/>
      <c r="O52" s="41"/>
      <c r="P52" s="8"/>
      <c r="Q52" s="35"/>
      <c r="R52" s="35"/>
      <c r="S52" s="35"/>
      <c r="T52" s="35"/>
      <c r="U52" s="35"/>
      <c r="V52" s="35"/>
      <c r="W52" s="35"/>
      <c r="X52" s="35"/>
      <c r="Y52" s="35"/>
      <c r="Z52" s="35"/>
      <c r="AA52" s="35"/>
      <c r="AB52" s="35"/>
    </row>
    <row r="53" spans="1:28" ht="16.5" customHeight="1" x14ac:dyDescent="0.2">
      <c r="A53" s="7"/>
      <c r="B53" s="8"/>
      <c r="C53" s="150"/>
      <c r="D53" s="253" t="s">
        <v>457</v>
      </c>
      <c r="E53" s="250"/>
      <c r="F53" s="250"/>
      <c r="G53" s="250"/>
      <c r="H53" s="250"/>
      <c r="I53" s="250"/>
      <c r="J53" s="250"/>
      <c r="K53" s="250"/>
      <c r="L53" s="250"/>
      <c r="M53" s="250"/>
      <c r="N53" s="250"/>
      <c r="O53" s="41"/>
      <c r="P53" s="8"/>
      <c r="Q53" s="35"/>
      <c r="R53" s="35"/>
      <c r="S53" s="35"/>
      <c r="T53" s="35"/>
      <c r="U53" s="35"/>
      <c r="V53" s="35"/>
      <c r="W53" s="35"/>
      <c r="X53" s="35"/>
      <c r="Y53" s="35"/>
      <c r="Z53" s="35"/>
      <c r="AA53" s="35"/>
      <c r="AB53" s="35"/>
    </row>
    <row r="54" spans="1:28" ht="36" customHeight="1" x14ac:dyDescent="0.2">
      <c r="A54" s="7"/>
      <c r="B54" s="125"/>
      <c r="C54" s="142"/>
      <c r="D54" s="252" t="s">
        <v>461</v>
      </c>
      <c r="E54" s="250"/>
      <c r="F54" s="250"/>
      <c r="G54" s="250"/>
      <c r="H54" s="250"/>
      <c r="I54" s="250"/>
      <c r="J54" s="250"/>
      <c r="K54" s="250"/>
      <c r="L54" s="250"/>
      <c r="M54" s="250"/>
      <c r="N54" s="250"/>
      <c r="O54" s="42"/>
      <c r="P54" s="125"/>
      <c r="Q54" s="35"/>
      <c r="R54" s="35"/>
      <c r="S54" s="35"/>
      <c r="T54" s="35"/>
      <c r="U54" s="35"/>
      <c r="V54" s="35"/>
      <c r="W54" s="35"/>
      <c r="X54" s="35"/>
      <c r="Y54" s="35"/>
      <c r="Z54" s="35"/>
      <c r="AA54" s="35"/>
      <c r="AB54" s="35"/>
    </row>
    <row r="55" spans="1:28" ht="16.5" customHeight="1" x14ac:dyDescent="0.2">
      <c r="A55" s="7"/>
      <c r="B55" s="8"/>
      <c r="C55" s="142"/>
      <c r="D55" s="147"/>
      <c r="E55" s="147"/>
      <c r="F55" s="147"/>
      <c r="G55" s="147"/>
      <c r="H55" s="147"/>
      <c r="I55" s="147"/>
      <c r="J55" s="147"/>
      <c r="K55" s="147"/>
      <c r="L55" s="147"/>
      <c r="M55" s="147"/>
      <c r="N55" s="147"/>
      <c r="O55" s="42"/>
      <c r="P55" s="8"/>
      <c r="Q55" s="35"/>
      <c r="R55" s="35"/>
      <c r="S55" s="35"/>
      <c r="T55" s="35"/>
      <c r="U55" s="35"/>
      <c r="V55" s="35"/>
      <c r="W55" s="35"/>
      <c r="X55" s="35"/>
      <c r="Y55" s="35"/>
      <c r="Z55" s="35"/>
      <c r="AA55" s="35"/>
      <c r="AB55" s="35"/>
    </row>
    <row r="56" spans="1:28" ht="16.5" customHeight="1" x14ac:dyDescent="0.2">
      <c r="A56" s="7"/>
      <c r="B56" s="8"/>
      <c r="C56" s="142"/>
      <c r="D56" s="253" t="s">
        <v>10</v>
      </c>
      <c r="E56" s="250"/>
      <c r="F56" s="250"/>
      <c r="G56" s="250"/>
      <c r="H56" s="250"/>
      <c r="I56" s="250"/>
      <c r="J56" s="250"/>
      <c r="K56" s="250"/>
      <c r="L56" s="250"/>
      <c r="M56" s="250"/>
      <c r="N56" s="250"/>
      <c r="O56" s="41"/>
      <c r="P56" s="8"/>
      <c r="Q56" s="35"/>
      <c r="R56" s="35"/>
      <c r="S56" s="35"/>
      <c r="T56" s="35"/>
      <c r="U56" s="35"/>
      <c r="V56" s="35"/>
      <c r="W56" s="35"/>
      <c r="X56" s="35"/>
      <c r="Y56" s="35"/>
      <c r="Z56" s="35"/>
      <c r="AA56" s="35"/>
      <c r="AB56" s="35"/>
    </row>
    <row r="57" spans="1:28" ht="16.5" customHeight="1" x14ac:dyDescent="0.2">
      <c r="A57" s="7"/>
      <c r="B57" s="8"/>
      <c r="C57" s="142"/>
      <c r="D57" s="252" t="s">
        <v>11</v>
      </c>
      <c r="E57" s="250"/>
      <c r="F57" s="250"/>
      <c r="G57" s="250"/>
      <c r="H57" s="250"/>
      <c r="I57" s="250"/>
      <c r="J57" s="250"/>
      <c r="K57" s="250"/>
      <c r="L57" s="250"/>
      <c r="M57" s="250"/>
      <c r="N57" s="250"/>
      <c r="O57" s="41"/>
      <c r="P57" s="8"/>
      <c r="Q57" s="35"/>
      <c r="R57" s="35"/>
      <c r="S57" s="35"/>
      <c r="T57" s="35"/>
      <c r="U57" s="35"/>
      <c r="V57" s="35"/>
      <c r="W57" s="35"/>
      <c r="X57" s="35"/>
      <c r="Y57" s="35"/>
      <c r="Z57" s="35"/>
      <c r="AA57" s="35"/>
      <c r="AB57" s="35"/>
    </row>
    <row r="58" spans="1:28" ht="16.5" customHeight="1" x14ac:dyDescent="0.2">
      <c r="A58" s="7"/>
      <c r="B58" s="8"/>
      <c r="C58" s="142"/>
      <c r="D58" s="142"/>
      <c r="E58" s="142"/>
      <c r="F58" s="142"/>
      <c r="G58" s="142"/>
      <c r="H58" s="142"/>
      <c r="I58" s="142"/>
      <c r="J58" s="142"/>
      <c r="K58" s="142"/>
      <c r="L58" s="142"/>
      <c r="M58" s="142"/>
      <c r="N58" s="142"/>
      <c r="O58" s="41"/>
      <c r="P58" s="8"/>
      <c r="Q58" s="35"/>
      <c r="R58" s="35"/>
      <c r="S58" s="35"/>
      <c r="T58" s="35"/>
      <c r="U58" s="35"/>
      <c r="V58" s="35"/>
      <c r="W58" s="35"/>
      <c r="X58" s="35"/>
      <c r="Y58" s="35"/>
      <c r="Z58" s="35"/>
      <c r="AA58" s="35"/>
      <c r="AB58" s="35"/>
    </row>
    <row r="59" spans="1:28" ht="16.5" customHeight="1" x14ac:dyDescent="0.2">
      <c r="A59" s="7"/>
      <c r="B59" s="8"/>
      <c r="C59" s="142"/>
      <c r="D59" s="146" t="s">
        <v>12</v>
      </c>
      <c r="E59" s="142"/>
      <c r="F59" s="142"/>
      <c r="G59" s="142"/>
      <c r="H59" s="142"/>
      <c r="I59" s="142"/>
      <c r="J59" s="142"/>
      <c r="K59" s="142"/>
      <c r="L59" s="142"/>
      <c r="M59" s="142"/>
      <c r="N59" s="142"/>
      <c r="O59" s="41"/>
      <c r="P59" s="8"/>
      <c r="Q59" s="35"/>
      <c r="R59" s="35"/>
      <c r="S59" s="35"/>
      <c r="T59" s="35"/>
      <c r="U59" s="35"/>
      <c r="V59" s="35"/>
      <c r="W59" s="35"/>
      <c r="X59" s="35"/>
      <c r="Y59" s="35"/>
      <c r="Z59" s="35"/>
      <c r="AA59" s="35"/>
      <c r="AB59" s="35"/>
    </row>
    <row r="60" spans="1:28" ht="16.5" customHeight="1" x14ac:dyDescent="0.2">
      <c r="A60" s="7"/>
      <c r="B60" s="8"/>
      <c r="C60" s="142"/>
      <c r="D60" s="252" t="s">
        <v>13</v>
      </c>
      <c r="E60" s="250"/>
      <c r="F60" s="250"/>
      <c r="G60" s="250"/>
      <c r="H60" s="250"/>
      <c r="I60" s="250"/>
      <c r="J60" s="250"/>
      <c r="K60" s="250"/>
      <c r="L60" s="250"/>
      <c r="M60" s="250"/>
      <c r="N60" s="250"/>
      <c r="O60" s="41"/>
      <c r="P60" s="8"/>
      <c r="Q60" s="35"/>
      <c r="R60" s="35"/>
      <c r="S60" s="35"/>
      <c r="T60" s="35"/>
      <c r="U60" s="35"/>
      <c r="V60" s="35"/>
      <c r="W60" s="35"/>
      <c r="X60" s="35"/>
      <c r="Y60" s="35"/>
      <c r="Z60" s="35"/>
      <c r="AA60" s="35"/>
      <c r="AB60" s="35"/>
    </row>
    <row r="61" spans="1:28" ht="16.5" customHeight="1" x14ac:dyDescent="0.2">
      <c r="A61" s="7"/>
      <c r="B61" s="8"/>
      <c r="C61" s="142"/>
      <c r="D61" s="259" t="s">
        <v>14</v>
      </c>
      <c r="E61" s="257"/>
      <c r="F61" s="257"/>
      <c r="G61" s="257"/>
      <c r="H61" s="257"/>
      <c r="I61" s="257"/>
      <c r="J61" s="257"/>
      <c r="K61" s="257"/>
      <c r="L61" s="257"/>
      <c r="M61" s="257"/>
      <c r="N61" s="258"/>
      <c r="O61" s="41"/>
      <c r="P61" s="8"/>
      <c r="Q61" s="35"/>
      <c r="R61" s="35"/>
      <c r="S61" s="35"/>
      <c r="T61" s="35"/>
      <c r="U61" s="35"/>
      <c r="V61" s="35"/>
      <c r="W61" s="35"/>
      <c r="X61" s="35"/>
      <c r="Y61" s="35"/>
      <c r="Z61" s="35"/>
      <c r="AA61" s="35"/>
      <c r="AB61" s="35"/>
    </row>
    <row r="62" spans="1:28" ht="16.5" customHeight="1" x14ac:dyDescent="0.2">
      <c r="A62" s="7"/>
      <c r="B62" s="8"/>
      <c r="C62" s="154"/>
      <c r="D62" s="136" t="s">
        <v>15</v>
      </c>
      <c r="E62" s="256" t="s">
        <v>117</v>
      </c>
      <c r="F62" s="257"/>
      <c r="G62" s="257"/>
      <c r="H62" s="257"/>
      <c r="I62" s="257"/>
      <c r="J62" s="257"/>
      <c r="K62" s="257"/>
      <c r="L62" s="257"/>
      <c r="M62" s="257"/>
      <c r="N62" s="258"/>
      <c r="O62" s="41"/>
      <c r="P62" s="8"/>
      <c r="Q62" s="35"/>
      <c r="R62" s="35"/>
      <c r="S62" s="35"/>
      <c r="T62" s="35"/>
      <c r="U62" s="35"/>
      <c r="V62" s="35"/>
      <c r="W62" s="35"/>
      <c r="X62" s="35"/>
      <c r="Y62" s="35"/>
      <c r="Z62" s="35"/>
      <c r="AA62" s="35"/>
      <c r="AB62" s="35"/>
    </row>
    <row r="63" spans="1:28" ht="16.5" customHeight="1" x14ac:dyDescent="0.2">
      <c r="A63" s="7"/>
      <c r="B63" s="8"/>
      <c r="C63" s="142"/>
      <c r="D63" s="136" t="s">
        <v>16</v>
      </c>
      <c r="E63" s="256" t="s">
        <v>460</v>
      </c>
      <c r="F63" s="257"/>
      <c r="G63" s="257"/>
      <c r="H63" s="257"/>
      <c r="I63" s="257"/>
      <c r="J63" s="257"/>
      <c r="K63" s="257"/>
      <c r="L63" s="257"/>
      <c r="M63" s="257"/>
      <c r="N63" s="258"/>
      <c r="O63" s="41"/>
      <c r="P63" s="8"/>
      <c r="Q63" s="35"/>
      <c r="R63" s="35"/>
      <c r="S63" s="35"/>
      <c r="T63" s="35"/>
      <c r="U63" s="35"/>
      <c r="V63" s="35"/>
      <c r="W63" s="35"/>
      <c r="X63" s="35"/>
      <c r="Y63" s="35"/>
      <c r="Z63" s="35"/>
      <c r="AA63" s="35"/>
      <c r="AB63" s="35"/>
    </row>
    <row r="64" spans="1:28" ht="34" customHeight="1" x14ac:dyDescent="0.2">
      <c r="A64" s="7"/>
      <c r="B64" s="8"/>
      <c r="C64" s="142"/>
      <c r="D64" s="136" t="s">
        <v>128</v>
      </c>
      <c r="E64" s="256" t="s">
        <v>119</v>
      </c>
      <c r="F64" s="257"/>
      <c r="G64" s="257"/>
      <c r="H64" s="257"/>
      <c r="I64" s="257"/>
      <c r="J64" s="257"/>
      <c r="K64" s="257"/>
      <c r="L64" s="257"/>
      <c r="M64" s="257"/>
      <c r="N64" s="258"/>
      <c r="O64" s="41"/>
      <c r="P64" s="8"/>
      <c r="Q64" s="35"/>
      <c r="R64" s="35"/>
      <c r="S64" s="35"/>
      <c r="T64" s="35"/>
      <c r="U64" s="35"/>
      <c r="V64" s="35"/>
      <c r="W64" s="35"/>
      <c r="X64" s="35"/>
      <c r="Y64" s="35"/>
      <c r="Z64" s="35"/>
      <c r="AA64" s="35"/>
      <c r="AB64" s="35"/>
    </row>
    <row r="65" spans="1:28" ht="16.5" customHeight="1" x14ac:dyDescent="0.2">
      <c r="A65" s="7"/>
      <c r="B65" s="8"/>
      <c r="C65" s="142"/>
      <c r="D65" s="136" t="s">
        <v>118</v>
      </c>
      <c r="E65" s="256" t="s">
        <v>120</v>
      </c>
      <c r="F65" s="257"/>
      <c r="G65" s="257"/>
      <c r="H65" s="257"/>
      <c r="I65" s="257"/>
      <c r="J65" s="257"/>
      <c r="K65" s="257"/>
      <c r="L65" s="257"/>
      <c r="M65" s="257"/>
      <c r="N65" s="258"/>
      <c r="O65" s="41"/>
      <c r="P65" s="8"/>
      <c r="Q65" s="35"/>
      <c r="R65" s="35"/>
      <c r="S65" s="35"/>
      <c r="T65" s="35"/>
      <c r="U65" s="35"/>
      <c r="V65" s="35"/>
      <c r="W65" s="35"/>
      <c r="X65" s="35"/>
      <c r="Y65" s="35"/>
      <c r="Z65" s="35"/>
      <c r="AA65" s="35"/>
      <c r="AB65" s="35"/>
    </row>
    <row r="66" spans="1:28" ht="16.5" customHeight="1" x14ac:dyDescent="0.2">
      <c r="A66" s="7"/>
      <c r="B66" s="8"/>
      <c r="C66" s="142"/>
      <c r="D66" s="136" t="s">
        <v>17</v>
      </c>
      <c r="E66" s="256" t="s">
        <v>18</v>
      </c>
      <c r="F66" s="257"/>
      <c r="G66" s="257"/>
      <c r="H66" s="257"/>
      <c r="I66" s="257"/>
      <c r="J66" s="257"/>
      <c r="K66" s="257"/>
      <c r="L66" s="257"/>
      <c r="M66" s="257"/>
      <c r="N66" s="258"/>
      <c r="O66" s="41"/>
      <c r="P66" s="8"/>
      <c r="Q66" s="35"/>
      <c r="R66" s="35"/>
      <c r="S66" s="35"/>
      <c r="T66" s="35"/>
      <c r="U66" s="35"/>
      <c r="V66" s="35"/>
      <c r="W66" s="35"/>
      <c r="X66" s="35"/>
      <c r="Y66" s="35"/>
      <c r="Z66" s="35"/>
      <c r="AA66" s="35"/>
      <c r="AB66" s="35"/>
    </row>
    <row r="67" spans="1:28" ht="16.5" customHeight="1" x14ac:dyDescent="0.2">
      <c r="A67" s="7"/>
      <c r="B67" s="8"/>
      <c r="C67" s="142"/>
      <c r="D67" s="136" t="s">
        <v>462</v>
      </c>
      <c r="E67" s="256" t="s">
        <v>121</v>
      </c>
      <c r="F67" s="257"/>
      <c r="G67" s="257"/>
      <c r="H67" s="257"/>
      <c r="I67" s="257"/>
      <c r="J67" s="257"/>
      <c r="K67" s="257"/>
      <c r="L67" s="257"/>
      <c r="M67" s="257"/>
      <c r="N67" s="258"/>
      <c r="O67" s="41"/>
      <c r="P67" s="8"/>
      <c r="Q67" s="35"/>
      <c r="R67" s="35"/>
      <c r="S67" s="35"/>
      <c r="T67" s="35"/>
      <c r="U67" s="35"/>
      <c r="V67" s="35"/>
      <c r="W67" s="35"/>
      <c r="X67" s="35"/>
      <c r="Y67" s="35"/>
      <c r="Z67" s="35"/>
      <c r="AA67" s="35"/>
      <c r="AB67" s="35"/>
    </row>
    <row r="68" spans="1:28" ht="16.5" customHeight="1" x14ac:dyDescent="0.2">
      <c r="A68" s="7"/>
      <c r="B68" s="8"/>
      <c r="C68" s="142"/>
      <c r="D68" s="136" t="s">
        <v>19</v>
      </c>
      <c r="E68" s="256" t="s">
        <v>20</v>
      </c>
      <c r="F68" s="257"/>
      <c r="G68" s="257"/>
      <c r="H68" s="257"/>
      <c r="I68" s="257"/>
      <c r="J68" s="257"/>
      <c r="K68" s="257"/>
      <c r="L68" s="257"/>
      <c r="M68" s="257"/>
      <c r="N68" s="258"/>
      <c r="O68" s="41"/>
      <c r="P68" s="8"/>
      <c r="Q68" s="35"/>
      <c r="R68" s="35"/>
      <c r="S68" s="35"/>
      <c r="T68" s="35"/>
      <c r="U68" s="35"/>
      <c r="V68" s="35"/>
      <c r="W68" s="35"/>
      <c r="X68" s="35"/>
      <c r="Y68" s="35"/>
      <c r="Z68" s="35"/>
      <c r="AA68" s="35"/>
      <c r="AB68" s="35"/>
    </row>
    <row r="69" spans="1:28" ht="16.5" customHeight="1" x14ac:dyDescent="0.2">
      <c r="A69" s="7"/>
      <c r="B69" s="8"/>
      <c r="C69" s="142"/>
      <c r="D69" s="266" t="s">
        <v>21</v>
      </c>
      <c r="E69" s="267"/>
      <c r="F69" s="267"/>
      <c r="G69" s="267"/>
      <c r="H69" s="267"/>
      <c r="I69" s="267"/>
      <c r="J69" s="267"/>
      <c r="K69" s="267"/>
      <c r="L69" s="267"/>
      <c r="M69" s="267"/>
      <c r="N69" s="268"/>
      <c r="O69" s="41"/>
      <c r="P69" s="8"/>
      <c r="Q69" s="35"/>
      <c r="R69" s="35"/>
      <c r="S69" s="35"/>
      <c r="T69" s="35"/>
      <c r="U69" s="35"/>
      <c r="V69" s="35"/>
      <c r="W69" s="35"/>
      <c r="X69" s="35"/>
      <c r="Y69" s="35"/>
      <c r="Z69" s="35"/>
      <c r="AA69" s="35"/>
      <c r="AB69" s="35"/>
    </row>
    <row r="70" spans="1:28" ht="16.5" customHeight="1" x14ac:dyDescent="0.2">
      <c r="A70" s="7"/>
      <c r="B70" s="8"/>
      <c r="C70" s="142"/>
      <c r="D70" s="136" t="s">
        <v>22</v>
      </c>
      <c r="E70" s="256" t="s">
        <v>23</v>
      </c>
      <c r="F70" s="257"/>
      <c r="G70" s="257"/>
      <c r="H70" s="257"/>
      <c r="I70" s="257"/>
      <c r="J70" s="257"/>
      <c r="K70" s="257"/>
      <c r="L70" s="257"/>
      <c r="M70" s="257"/>
      <c r="N70" s="258"/>
      <c r="O70" s="41"/>
      <c r="P70" s="8"/>
      <c r="Q70" s="35"/>
      <c r="R70" s="35"/>
      <c r="S70" s="35"/>
      <c r="T70" s="35"/>
      <c r="U70" s="35"/>
      <c r="V70" s="35"/>
      <c r="W70" s="35"/>
      <c r="X70" s="35"/>
      <c r="Y70" s="35"/>
      <c r="Z70" s="35"/>
      <c r="AA70" s="35"/>
      <c r="AB70" s="35"/>
    </row>
    <row r="71" spans="1:28" ht="30" x14ac:dyDescent="0.2">
      <c r="A71" s="7"/>
      <c r="B71" s="8"/>
      <c r="C71" s="142"/>
      <c r="D71" s="136" t="s">
        <v>464</v>
      </c>
      <c r="E71" s="256" t="s">
        <v>25</v>
      </c>
      <c r="F71" s="257"/>
      <c r="G71" s="257"/>
      <c r="H71" s="257"/>
      <c r="I71" s="257"/>
      <c r="J71" s="257"/>
      <c r="K71" s="257"/>
      <c r="L71" s="257"/>
      <c r="M71" s="257"/>
      <c r="N71" s="258"/>
      <c r="O71" s="41"/>
      <c r="P71" s="8"/>
      <c r="Q71" s="35"/>
      <c r="R71" s="35"/>
      <c r="S71" s="35"/>
      <c r="T71" s="35"/>
      <c r="U71" s="35"/>
      <c r="V71" s="35"/>
      <c r="W71" s="35"/>
      <c r="X71" s="35"/>
      <c r="Y71" s="35"/>
      <c r="Z71" s="35"/>
      <c r="AA71" s="35"/>
      <c r="AB71" s="35"/>
    </row>
    <row r="72" spans="1:28" ht="31.5" customHeight="1" x14ac:dyDescent="0.2">
      <c r="A72" s="7"/>
      <c r="B72" s="8"/>
      <c r="C72" s="142"/>
      <c r="D72" s="136" t="s">
        <v>26</v>
      </c>
      <c r="E72" s="256" t="s">
        <v>122</v>
      </c>
      <c r="F72" s="257"/>
      <c r="G72" s="257"/>
      <c r="H72" s="257"/>
      <c r="I72" s="257"/>
      <c r="J72" s="257"/>
      <c r="K72" s="257"/>
      <c r="L72" s="257"/>
      <c r="M72" s="257"/>
      <c r="N72" s="258"/>
      <c r="O72" s="41"/>
      <c r="P72" s="8"/>
      <c r="Q72" s="35"/>
      <c r="R72" s="35"/>
      <c r="S72" s="35"/>
      <c r="T72" s="35"/>
      <c r="U72" s="35"/>
      <c r="V72" s="35"/>
      <c r="W72" s="35"/>
      <c r="X72" s="35"/>
      <c r="Y72" s="35"/>
      <c r="Z72" s="35"/>
      <c r="AA72" s="35"/>
      <c r="AB72" s="35"/>
    </row>
    <row r="73" spans="1:28" ht="16.5" customHeight="1" x14ac:dyDescent="0.2">
      <c r="A73" s="7"/>
      <c r="B73" s="8"/>
      <c r="C73" s="142"/>
      <c r="D73" s="136" t="s">
        <v>15</v>
      </c>
      <c r="E73" s="256" t="s">
        <v>123</v>
      </c>
      <c r="F73" s="257"/>
      <c r="G73" s="257"/>
      <c r="H73" s="257"/>
      <c r="I73" s="257"/>
      <c r="J73" s="257"/>
      <c r="K73" s="257"/>
      <c r="L73" s="257"/>
      <c r="M73" s="257"/>
      <c r="N73" s="258"/>
      <c r="O73" s="41"/>
      <c r="P73" s="8"/>
      <c r="Q73" s="35"/>
      <c r="R73" s="35"/>
      <c r="S73" s="35"/>
      <c r="T73" s="35"/>
      <c r="U73" s="35"/>
      <c r="V73" s="35"/>
      <c r="W73" s="35"/>
      <c r="X73" s="35"/>
      <c r="Y73" s="35"/>
      <c r="Z73" s="35"/>
      <c r="AA73" s="35"/>
      <c r="AB73" s="35"/>
    </row>
    <row r="74" spans="1:28" ht="32" customHeight="1" x14ac:dyDescent="0.2">
      <c r="A74" s="7"/>
      <c r="B74" s="8"/>
      <c r="C74" s="142"/>
      <c r="D74" s="136" t="s">
        <v>463</v>
      </c>
      <c r="E74" s="256" t="s">
        <v>124</v>
      </c>
      <c r="F74" s="257"/>
      <c r="G74" s="257"/>
      <c r="H74" s="257"/>
      <c r="I74" s="257"/>
      <c r="J74" s="257"/>
      <c r="K74" s="257"/>
      <c r="L74" s="257"/>
      <c r="M74" s="257"/>
      <c r="N74" s="258"/>
      <c r="O74" s="41"/>
      <c r="P74" s="8"/>
      <c r="Q74" s="35"/>
      <c r="R74" s="35"/>
      <c r="S74" s="35"/>
      <c r="T74" s="35"/>
      <c r="U74" s="35"/>
      <c r="V74" s="35"/>
      <c r="W74" s="35"/>
      <c r="X74" s="35"/>
      <c r="Y74" s="35"/>
      <c r="Z74" s="35"/>
      <c r="AA74" s="35"/>
      <c r="AB74" s="35"/>
    </row>
    <row r="75" spans="1:28" ht="47" customHeight="1" x14ac:dyDescent="0.2">
      <c r="A75" s="7"/>
      <c r="B75" s="8"/>
      <c r="C75" s="142"/>
      <c r="D75" s="136" t="s">
        <v>28</v>
      </c>
      <c r="E75" s="256" t="s">
        <v>125</v>
      </c>
      <c r="F75" s="257"/>
      <c r="G75" s="257"/>
      <c r="H75" s="257"/>
      <c r="I75" s="257"/>
      <c r="J75" s="257"/>
      <c r="K75" s="257"/>
      <c r="L75" s="257"/>
      <c r="M75" s="257"/>
      <c r="N75" s="258"/>
      <c r="O75" s="41"/>
      <c r="P75" s="8"/>
      <c r="Q75" s="35"/>
      <c r="R75" s="35"/>
      <c r="S75" s="35"/>
      <c r="T75" s="35"/>
      <c r="U75" s="35"/>
      <c r="V75" s="35"/>
      <c r="W75" s="35"/>
      <c r="X75" s="35"/>
      <c r="Y75" s="35"/>
      <c r="Z75" s="35"/>
      <c r="AA75" s="35"/>
      <c r="AB75" s="35"/>
    </row>
    <row r="76" spans="1:28" ht="47.25" customHeight="1" x14ac:dyDescent="0.2">
      <c r="A76" s="7"/>
      <c r="B76" s="8"/>
      <c r="C76" s="142"/>
      <c r="D76" s="136" t="s">
        <v>29</v>
      </c>
      <c r="E76" s="256" t="s">
        <v>126</v>
      </c>
      <c r="F76" s="257"/>
      <c r="G76" s="257"/>
      <c r="H76" s="257"/>
      <c r="I76" s="257"/>
      <c r="J76" s="257"/>
      <c r="K76" s="257"/>
      <c r="L76" s="257"/>
      <c r="M76" s="257"/>
      <c r="N76" s="258"/>
      <c r="O76" s="41"/>
      <c r="P76" s="8"/>
      <c r="Q76" s="35"/>
      <c r="R76" s="35"/>
      <c r="S76" s="35"/>
      <c r="T76" s="35"/>
      <c r="U76" s="35"/>
      <c r="V76" s="35"/>
      <c r="W76" s="35"/>
      <c r="X76" s="35"/>
      <c r="Y76" s="35"/>
      <c r="Z76" s="35"/>
      <c r="AA76" s="35"/>
      <c r="AB76" s="35"/>
    </row>
    <row r="77" spans="1:28" ht="16.5" customHeight="1" x14ac:dyDescent="0.2">
      <c r="A77" s="10"/>
      <c r="B77" s="11"/>
      <c r="C77" s="143"/>
      <c r="D77" s="155"/>
      <c r="E77" s="156"/>
      <c r="F77" s="156"/>
      <c r="G77" s="156"/>
      <c r="H77" s="156"/>
      <c r="I77" s="156"/>
      <c r="J77" s="156"/>
      <c r="K77" s="156"/>
      <c r="L77" s="156"/>
      <c r="M77" s="156"/>
      <c r="N77" s="156"/>
      <c r="O77" s="43"/>
      <c r="P77" s="11"/>
      <c r="Q77" s="36"/>
      <c r="R77" s="36"/>
      <c r="S77" s="36"/>
      <c r="T77" s="36"/>
      <c r="U77" s="36"/>
      <c r="V77" s="36"/>
      <c r="W77" s="36"/>
      <c r="X77" s="36"/>
      <c r="Y77" s="36"/>
      <c r="Z77" s="36"/>
      <c r="AA77" s="36"/>
      <c r="AB77" s="36"/>
    </row>
    <row r="78" spans="1:28" ht="23" customHeight="1" x14ac:dyDescent="0.2">
      <c r="A78" s="7"/>
      <c r="B78" s="8"/>
      <c r="C78" s="142"/>
      <c r="D78" s="137" t="s">
        <v>30</v>
      </c>
      <c r="E78" s="138"/>
      <c r="F78" s="138"/>
      <c r="G78" s="138"/>
      <c r="H78" s="138"/>
      <c r="I78" s="138"/>
      <c r="J78" s="138"/>
      <c r="K78" s="138"/>
      <c r="L78" s="138"/>
      <c r="M78" s="138"/>
      <c r="N78" s="138"/>
      <c r="O78" s="41"/>
      <c r="P78" s="8"/>
      <c r="Q78" s="35"/>
      <c r="R78" s="35"/>
      <c r="S78" s="35"/>
      <c r="T78" s="35"/>
      <c r="U78" s="35"/>
      <c r="V78" s="35"/>
      <c r="W78" s="35"/>
      <c r="X78" s="35"/>
      <c r="Y78" s="35"/>
      <c r="Z78" s="35"/>
      <c r="AA78" s="35"/>
      <c r="AB78" s="35"/>
    </row>
    <row r="79" spans="1:28" ht="16.5" customHeight="1" x14ac:dyDescent="0.2">
      <c r="A79" s="7"/>
      <c r="B79" s="8"/>
      <c r="C79" s="142"/>
      <c r="D79" s="260" t="s">
        <v>31</v>
      </c>
      <c r="E79" s="261"/>
      <c r="F79" s="261"/>
      <c r="G79" s="261"/>
      <c r="H79" s="261"/>
      <c r="I79" s="261"/>
      <c r="J79" s="261"/>
      <c r="K79" s="261"/>
      <c r="L79" s="261"/>
      <c r="M79" s="261"/>
      <c r="N79" s="262"/>
      <c r="O79" s="41"/>
      <c r="P79" s="8"/>
      <c r="Q79" s="35"/>
      <c r="R79" s="35"/>
      <c r="S79" s="35"/>
      <c r="T79" s="35"/>
      <c r="U79" s="35"/>
      <c r="V79" s="35"/>
      <c r="W79" s="35"/>
      <c r="X79" s="35"/>
      <c r="Y79" s="35"/>
      <c r="Z79" s="35"/>
      <c r="AA79" s="35"/>
      <c r="AB79" s="35"/>
    </row>
    <row r="80" spans="1:28" ht="16.5" customHeight="1" x14ac:dyDescent="0.2">
      <c r="A80" s="7"/>
      <c r="B80" s="8"/>
      <c r="C80" s="38"/>
      <c r="D80" s="263"/>
      <c r="E80" s="264"/>
      <c r="F80" s="264"/>
      <c r="G80" s="264"/>
      <c r="H80" s="264"/>
      <c r="I80" s="264"/>
      <c r="J80" s="264"/>
      <c r="K80" s="264"/>
      <c r="L80" s="264"/>
      <c r="M80" s="264"/>
      <c r="N80" s="265"/>
      <c r="O80" s="40"/>
      <c r="P80" s="8"/>
      <c r="Q80" s="35"/>
      <c r="R80" s="35"/>
      <c r="S80" s="35"/>
      <c r="T80" s="35"/>
      <c r="U80" s="35"/>
      <c r="V80" s="35"/>
      <c r="W80" s="35"/>
      <c r="X80" s="35"/>
      <c r="Y80" s="35"/>
      <c r="Z80" s="35"/>
      <c r="AA80" s="35"/>
      <c r="AB80" s="35"/>
    </row>
    <row r="81" spans="1:28" ht="16.5" customHeight="1" x14ac:dyDescent="0.2">
      <c r="A81" s="7"/>
      <c r="B81" s="12"/>
      <c r="C81" s="13"/>
      <c r="D81" s="13"/>
      <c r="E81" s="13"/>
      <c r="F81" s="13"/>
      <c r="G81" s="13"/>
      <c r="H81" s="13"/>
      <c r="I81" s="13"/>
      <c r="J81" s="13"/>
      <c r="K81" s="13"/>
      <c r="L81" s="13"/>
      <c r="M81" s="13"/>
      <c r="N81" s="13"/>
      <c r="O81" s="12"/>
      <c r="P81" s="14"/>
      <c r="Q81" s="35"/>
      <c r="R81" s="35"/>
      <c r="S81" s="35"/>
      <c r="T81" s="35"/>
      <c r="U81" s="35"/>
      <c r="V81" s="35"/>
      <c r="W81" s="35"/>
      <c r="X81" s="35"/>
      <c r="Y81" s="35"/>
      <c r="Z81" s="35"/>
      <c r="AA81" s="35"/>
      <c r="AB81" s="35"/>
    </row>
    <row r="82" spans="1:28" ht="16.5" customHeight="1" x14ac:dyDescent="0.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row>
    <row r="83" spans="1:28" ht="16.5" customHeight="1" x14ac:dyDescent="0.2">
      <c r="A83" s="35"/>
      <c r="B83" s="35"/>
      <c r="C83" s="35"/>
      <c r="D83" s="35"/>
      <c r="L83" s="35"/>
      <c r="M83" s="35"/>
      <c r="N83" s="35"/>
      <c r="O83" s="35"/>
      <c r="P83" s="35"/>
      <c r="Q83" s="35"/>
      <c r="R83" s="35"/>
      <c r="S83" s="35"/>
      <c r="T83" s="35"/>
      <c r="U83" s="35"/>
      <c r="V83" s="35"/>
      <c r="W83" s="35"/>
      <c r="X83" s="35"/>
      <c r="Y83" s="35"/>
      <c r="Z83" s="35"/>
      <c r="AA83" s="35"/>
      <c r="AB83" s="35"/>
    </row>
    <row r="84" spans="1:28" ht="16.5" customHeight="1" x14ac:dyDescent="0.2">
      <c r="A84" s="35"/>
      <c r="B84" s="35"/>
      <c r="C84" s="35"/>
      <c r="K84" s="35"/>
      <c r="L84" s="35"/>
      <c r="M84" s="35"/>
      <c r="N84" s="35"/>
      <c r="O84" s="35"/>
      <c r="P84" s="35"/>
      <c r="Q84" s="35"/>
      <c r="R84" s="35"/>
      <c r="S84" s="35"/>
      <c r="T84" s="35"/>
      <c r="U84" s="35"/>
      <c r="V84" s="35"/>
      <c r="W84" s="35"/>
      <c r="X84" s="35"/>
      <c r="Y84" s="35"/>
      <c r="Z84" s="35"/>
      <c r="AA84" s="35"/>
      <c r="AB84" s="35"/>
    </row>
    <row r="85" spans="1:28" ht="16.5" customHeight="1" x14ac:dyDescent="0.2">
      <c r="A85" s="35"/>
      <c r="B85" s="35"/>
      <c r="C85" s="35"/>
      <c r="K85" s="35"/>
      <c r="L85" s="35"/>
      <c r="M85" s="35"/>
      <c r="N85" s="35"/>
      <c r="O85" s="35"/>
      <c r="P85" s="35"/>
      <c r="Q85" s="35"/>
      <c r="R85" s="35"/>
      <c r="S85" s="35"/>
      <c r="T85" s="35"/>
      <c r="U85" s="35"/>
      <c r="V85" s="35"/>
      <c r="W85" s="35"/>
      <c r="X85" s="35"/>
      <c r="Y85" s="35"/>
      <c r="Z85" s="35"/>
      <c r="AA85" s="35"/>
      <c r="AB85" s="35"/>
    </row>
    <row r="86" spans="1:28" ht="16.5" customHeight="1" x14ac:dyDescent="0.2">
      <c r="A86" s="35"/>
      <c r="B86" s="35"/>
      <c r="C86" s="35"/>
      <c r="K86" s="35"/>
      <c r="L86" s="35"/>
      <c r="M86" s="35"/>
      <c r="N86" s="35"/>
      <c r="O86" s="35"/>
      <c r="P86" s="35"/>
      <c r="Q86" s="35"/>
      <c r="R86" s="35"/>
      <c r="S86" s="35"/>
      <c r="T86" s="35"/>
      <c r="U86" s="35"/>
      <c r="V86" s="35"/>
      <c r="W86" s="35"/>
      <c r="X86" s="35"/>
      <c r="Y86" s="35"/>
      <c r="Z86" s="35"/>
      <c r="AA86" s="35"/>
      <c r="AB86" s="35"/>
    </row>
    <row r="87" spans="1:28" ht="16.5" customHeight="1" x14ac:dyDescent="0.2">
      <c r="A87" s="35"/>
      <c r="B87" s="35"/>
      <c r="C87" s="35"/>
      <c r="K87" s="35"/>
      <c r="L87" s="35"/>
      <c r="M87" s="35"/>
      <c r="N87" s="35"/>
      <c r="O87" s="35"/>
      <c r="P87" s="35"/>
      <c r="Q87" s="35"/>
      <c r="R87" s="35"/>
      <c r="S87" s="35"/>
      <c r="T87" s="35"/>
      <c r="U87" s="35"/>
      <c r="V87" s="35"/>
      <c r="W87" s="35"/>
      <c r="X87" s="35"/>
      <c r="Y87" s="35"/>
      <c r="Z87" s="35"/>
      <c r="AA87" s="35"/>
      <c r="AB87" s="35"/>
    </row>
    <row r="88" spans="1:28" ht="16.5" customHeight="1" x14ac:dyDescent="0.2">
      <c r="A88" s="35"/>
      <c r="B88" s="35"/>
      <c r="C88" s="35"/>
      <c r="K88" s="35"/>
      <c r="L88" s="35"/>
      <c r="M88" s="35"/>
      <c r="N88" s="35"/>
      <c r="O88" s="35"/>
      <c r="P88" s="35"/>
      <c r="Q88" s="35"/>
      <c r="R88" s="35"/>
      <c r="S88" s="35"/>
      <c r="T88" s="35"/>
      <c r="U88" s="35"/>
      <c r="V88" s="35"/>
      <c r="W88" s="35"/>
      <c r="X88" s="35"/>
      <c r="Y88" s="35"/>
      <c r="Z88" s="35"/>
      <c r="AA88" s="35"/>
      <c r="AB88" s="35"/>
    </row>
    <row r="89" spans="1:28" ht="16.5" customHeight="1" x14ac:dyDescent="0.2">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row>
    <row r="90" spans="1:28" ht="16.5" customHeight="1" x14ac:dyDescent="0.2">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row>
    <row r="91" spans="1:28" ht="16.5" customHeight="1" x14ac:dyDescent="0.2">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row>
    <row r="92" spans="1:28" ht="16.5" customHeight="1" x14ac:dyDescent="0.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row>
    <row r="93" spans="1:28" ht="16.5" customHeight="1" x14ac:dyDescent="0.2">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row>
    <row r="94" spans="1:28" ht="16.5" customHeight="1" x14ac:dyDescent="0.2">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row>
    <row r="95" spans="1:28" ht="16.5" customHeight="1" x14ac:dyDescent="0.2">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row>
    <row r="96" spans="1:28" ht="16.5" customHeight="1" x14ac:dyDescent="0.2">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row>
    <row r="97" spans="1:28" ht="16.5" customHeight="1" x14ac:dyDescent="0.2">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row>
    <row r="98" spans="1:28" ht="16.5" customHeight="1" x14ac:dyDescent="0.2">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row>
    <row r="99" spans="1:28" ht="16.5" customHeight="1" x14ac:dyDescent="0.2">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row>
    <row r="100" spans="1:28" ht="16.5" customHeight="1" x14ac:dyDescent="0.2">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1:28" ht="16.5" customHeight="1" x14ac:dyDescent="0.2">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1:28" ht="16.5" customHeight="1" x14ac:dyDescent="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1:28" ht="16.5" customHeight="1" x14ac:dyDescent="0.2">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1:28" ht="16.5" customHeight="1" x14ac:dyDescent="0.2">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1:28" ht="16.5" customHeight="1" x14ac:dyDescent="0.2">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1:28" ht="16.5" customHeight="1" x14ac:dyDescent="0.2">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1:28" ht="16.5" customHeight="1" x14ac:dyDescent="0.2">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1:28" ht="16.5" customHeight="1" x14ac:dyDescent="0.2">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1:28" ht="16.5" customHeight="1" x14ac:dyDescent="0.2">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1:28" ht="16.5" customHeight="1" x14ac:dyDescent="0.2">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1:28" ht="16.5" customHeight="1" x14ac:dyDescent="0.2">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1:28" ht="16.5" customHeight="1" x14ac:dyDescent="0.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1:28" ht="16.5" customHeight="1" x14ac:dyDescent="0.2">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1:28" ht="16.5" customHeight="1" x14ac:dyDescent="0.2">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1:28" ht="16.5" customHeight="1" x14ac:dyDescent="0.2">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1:28" ht="16.5" customHeight="1" x14ac:dyDescent="0.2">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1:28" ht="16.5" customHeight="1" x14ac:dyDescent="0.2">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1:28" ht="16.5" customHeight="1" x14ac:dyDescent="0.2">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1:28" ht="16.5" customHeight="1" x14ac:dyDescent="0.2">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1:28" ht="16.5" customHeight="1" x14ac:dyDescent="0.2">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1:28" ht="16.5" customHeight="1" x14ac:dyDescent="0.2">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1:28" ht="16.5" customHeight="1" x14ac:dyDescent="0.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1:28" ht="16.5" customHeight="1" x14ac:dyDescent="0.2">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1:28" ht="16.5" customHeight="1" x14ac:dyDescent="0.2">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1:28" ht="16.5" customHeight="1" x14ac:dyDescent="0.2">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1:28" ht="16.5" customHeight="1" x14ac:dyDescent="0.2">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1:28" ht="16.5" customHeight="1" x14ac:dyDescent="0.2">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1:28" ht="16.5" customHeight="1" x14ac:dyDescent="0.2">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1:28" ht="16.5" customHeight="1" x14ac:dyDescent="0.2">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1:28" ht="16.5" customHeight="1" x14ac:dyDescent="0.2">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1:28" ht="16.5" customHeight="1" x14ac:dyDescent="0.2">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1:28" ht="16.5" customHeight="1" x14ac:dyDescent="0.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1:28" ht="16.5" customHeight="1" x14ac:dyDescent="0.2">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1:28" ht="16.5" customHeight="1" x14ac:dyDescent="0.2">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1:28" ht="16.5" customHeight="1" x14ac:dyDescent="0.2">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1:28" ht="16.5" customHeight="1" x14ac:dyDescent="0.2">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1:28" ht="16.5" customHeight="1" x14ac:dyDescent="0.2">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1:28" ht="16.5" customHeight="1" x14ac:dyDescent="0.2">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1:28" ht="16.5" customHeight="1" x14ac:dyDescent="0.2">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1:28" ht="16.5" customHeight="1" x14ac:dyDescent="0.2">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1:28" ht="16.5" customHeight="1" x14ac:dyDescent="0.2">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1:28" ht="16.5" customHeight="1" x14ac:dyDescent="0.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1:28" ht="16.5" customHeight="1" x14ac:dyDescent="0.2">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1:28" ht="16.5" customHeight="1" x14ac:dyDescent="0.2">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1:28" ht="16.5" customHeight="1" x14ac:dyDescent="0.2">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1:28" ht="16.5" customHeight="1" x14ac:dyDescent="0.2">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1:28" ht="16.5"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1:28" ht="16.5" customHeight="1" x14ac:dyDescent="0.2">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1:28" ht="16.5" customHeight="1" x14ac:dyDescent="0.2">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1:28" ht="16.5" customHeight="1" x14ac:dyDescent="0.2">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1:28" ht="16.5" customHeight="1" x14ac:dyDescent="0.2">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1:28" ht="16.5" customHeight="1" x14ac:dyDescent="0.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1:28" ht="16.5" customHeight="1" x14ac:dyDescent="0.2">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1:28" ht="16.5" customHeight="1" x14ac:dyDescent="0.2">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1:28" ht="16.5" customHeight="1" x14ac:dyDescent="0.2">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1:28" ht="16.5"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1:28" ht="16.5" customHeight="1" x14ac:dyDescent="0.2">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1:28" ht="16.5" customHeight="1" x14ac:dyDescent="0.2">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1:28" ht="16.5" customHeight="1" x14ac:dyDescent="0.2">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1:28" ht="16.5" customHeight="1" x14ac:dyDescent="0.2">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1:28" ht="16.5" customHeight="1" x14ac:dyDescent="0.2">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1:28" ht="16.5" customHeight="1" x14ac:dyDescent="0.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1:28" ht="16.5" customHeight="1" x14ac:dyDescent="0.2">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1:28" ht="16.5" customHeight="1" x14ac:dyDescent="0.2">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1:28" ht="16.5" customHeight="1" x14ac:dyDescent="0.2">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1:28" ht="16.5" customHeight="1" x14ac:dyDescent="0.2">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1:28" ht="16.5" customHeight="1" x14ac:dyDescent="0.2">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1:28" ht="16.5" customHeight="1" x14ac:dyDescent="0.2">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1:28" ht="16.5" customHeight="1" x14ac:dyDescent="0.2">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1:28" ht="16.5" customHeight="1" x14ac:dyDescent="0.2">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1:28" ht="16.5" customHeight="1" x14ac:dyDescent="0.2">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1:28" ht="16.5" customHeight="1" x14ac:dyDescent="0.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1:28" ht="16.5" customHeight="1" x14ac:dyDescent="0.2">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1:28" ht="16.5" customHeight="1" x14ac:dyDescent="0.2">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1:28" ht="16.5" customHeight="1" x14ac:dyDescent="0.2">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1:28" ht="16.5" customHeight="1" x14ac:dyDescent="0.2">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1:28" ht="16.5" customHeight="1" x14ac:dyDescent="0.2">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1:28" ht="16.5" customHeight="1" x14ac:dyDescent="0.2">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1:28" ht="16.5" customHeight="1" x14ac:dyDescent="0.2">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1:28" ht="16.5" customHeight="1" x14ac:dyDescent="0.2">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1:28" ht="16.5" customHeight="1" x14ac:dyDescent="0.2">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1:28" ht="16.5" customHeight="1" x14ac:dyDescent="0.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1:28" ht="16.5" customHeight="1" x14ac:dyDescent="0.2">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1:28" ht="16.5" customHeight="1" x14ac:dyDescent="0.2">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1:28" ht="16.5" customHeight="1" x14ac:dyDescent="0.2">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1:28" ht="16.5"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1:28" ht="16.5" customHeight="1" x14ac:dyDescent="0.2">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1:28" ht="16.5" customHeight="1" x14ac:dyDescent="0.2">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1:28" ht="16.5" customHeight="1" x14ac:dyDescent="0.2">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1:28" ht="16.5" customHeight="1" x14ac:dyDescent="0.2">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1:28" ht="16.5" customHeight="1" x14ac:dyDescent="0.2">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1:28" ht="16.5" customHeight="1" x14ac:dyDescent="0.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1:28" ht="16.5" customHeight="1" x14ac:dyDescent="0.2">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1:28" ht="16.5" customHeight="1" x14ac:dyDescent="0.2">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1:28" ht="16.5" customHeight="1" x14ac:dyDescent="0.2">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1:28" ht="16.5" customHeight="1" x14ac:dyDescent="0.2">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1:28" ht="16.5" customHeight="1" x14ac:dyDescent="0.2">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1:28" ht="16.5" customHeight="1" x14ac:dyDescent="0.2">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1:28" ht="16.5" customHeight="1" x14ac:dyDescent="0.2">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1:28" ht="16.5" customHeight="1" x14ac:dyDescent="0.2">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1:28" ht="16.5" customHeight="1" x14ac:dyDescent="0.2">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1:28" ht="16.5" customHeight="1" x14ac:dyDescent="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1:28" ht="16.5" customHeight="1" x14ac:dyDescent="0.2">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1:28" ht="16.5" customHeight="1" x14ac:dyDescent="0.2">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1:28" ht="16.5" customHeight="1" x14ac:dyDescent="0.2">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1:28" ht="16.5" customHeight="1" x14ac:dyDescent="0.2">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1:28" ht="16.5" customHeight="1" x14ac:dyDescent="0.2">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1:28" ht="16.5" customHeight="1" x14ac:dyDescent="0.2">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1:28" ht="16.5" customHeight="1" x14ac:dyDescent="0.2">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1:28" ht="16.5" customHeight="1" x14ac:dyDescent="0.2">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1:28" ht="16.5" customHeight="1" x14ac:dyDescent="0.2">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1:28" ht="16.5" customHeight="1" x14ac:dyDescent="0.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1:28" ht="16.5" customHeight="1" x14ac:dyDescent="0.2">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1:28" ht="16.5" customHeight="1" x14ac:dyDescent="0.2">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1:28" ht="16.5" customHeight="1" x14ac:dyDescent="0.2">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1:28" ht="16.5" customHeight="1" x14ac:dyDescent="0.2">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1:28" ht="16.5" customHeight="1" x14ac:dyDescent="0.2">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1:28" ht="16.5" customHeight="1" x14ac:dyDescent="0.2">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1:28" ht="16.5" customHeight="1" x14ac:dyDescent="0.2">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1:28" ht="16.5" customHeight="1" x14ac:dyDescent="0.2">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1:28" ht="16.5" customHeight="1" x14ac:dyDescent="0.2">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1:28" ht="16.5" customHeight="1" x14ac:dyDescent="0.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1:28" ht="16.5" customHeight="1" x14ac:dyDescent="0.2">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1:28" ht="16.5" customHeight="1" x14ac:dyDescent="0.2">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1:28" ht="16.5" customHeight="1" x14ac:dyDescent="0.2">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1:28" ht="16.5" customHeight="1" x14ac:dyDescent="0.2">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1:28" ht="16.5" customHeight="1" x14ac:dyDescent="0.2">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1:28" ht="16.5" customHeight="1" x14ac:dyDescent="0.2">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1:28" ht="16.5" customHeight="1" x14ac:dyDescent="0.2">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1:28" ht="16.5" customHeight="1" x14ac:dyDescent="0.2">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1:28" ht="16.5" customHeight="1" x14ac:dyDescent="0.2">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1:28" ht="16.5" customHeight="1" x14ac:dyDescent="0.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1:28" ht="16.5" customHeight="1" x14ac:dyDescent="0.2">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1:28" ht="16.5" customHeight="1" x14ac:dyDescent="0.2">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1:28" ht="16.5" customHeight="1" x14ac:dyDescent="0.2">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1:28" ht="16.5" customHeight="1" x14ac:dyDescent="0.2">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1:28" ht="16.5" customHeight="1" x14ac:dyDescent="0.2">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1:28" ht="16.5" customHeight="1" x14ac:dyDescent="0.2">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1:28" ht="16.5" customHeight="1" x14ac:dyDescent="0.2">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1:28" ht="16.5" customHeight="1" x14ac:dyDescent="0.2">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1:28" ht="16.5" customHeight="1" x14ac:dyDescent="0.2">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1:28" ht="16.5" customHeight="1" x14ac:dyDescent="0.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1:28" ht="16.5" customHeight="1" x14ac:dyDescent="0.2">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1:28" ht="16.5" customHeight="1" x14ac:dyDescent="0.2">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1:28" ht="16.5" customHeight="1" x14ac:dyDescent="0.2">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1:28" ht="16.5" customHeight="1" x14ac:dyDescent="0.2">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1:28" ht="16.5" customHeight="1" x14ac:dyDescent="0.2">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1:28" ht="16.5" customHeight="1" x14ac:dyDescent="0.2">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1:28" ht="16.5" customHeight="1" x14ac:dyDescent="0.2">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1:28" ht="16.5" customHeight="1" x14ac:dyDescent="0.2">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1:28" ht="16.5" customHeight="1" x14ac:dyDescent="0.2">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1:28" ht="16.5" customHeight="1" x14ac:dyDescent="0.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1:28" ht="16.5" customHeight="1" x14ac:dyDescent="0.2">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1:28" ht="16.5" customHeight="1" x14ac:dyDescent="0.2">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1:28" ht="16.5" customHeight="1" x14ac:dyDescent="0.2">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1:28" ht="16.5" customHeight="1" x14ac:dyDescent="0.2">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1:28" ht="16.5" customHeight="1" x14ac:dyDescent="0.2">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1:28" ht="16.5" customHeight="1" x14ac:dyDescent="0.2">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1:28" ht="16.5" customHeight="1" x14ac:dyDescent="0.2">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1:28" ht="16.5" customHeight="1" x14ac:dyDescent="0.2">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1:28" ht="16.5" customHeight="1" x14ac:dyDescent="0.2">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1:28" ht="16.5" customHeight="1" x14ac:dyDescent="0.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1:28" ht="16.5" customHeight="1" x14ac:dyDescent="0.2">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1:28" ht="16.5" customHeight="1" x14ac:dyDescent="0.2">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1:28" ht="16.5" customHeight="1" x14ac:dyDescent="0.2">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1:28" ht="16.5" customHeight="1" x14ac:dyDescent="0.2">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1:28" ht="16.5" customHeight="1" x14ac:dyDescent="0.2">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1:28" ht="16.5" customHeight="1" x14ac:dyDescent="0.2">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1:28" ht="16.5" customHeight="1" x14ac:dyDescent="0.2">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1:28" ht="16.5" customHeight="1" x14ac:dyDescent="0.2">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1:28" ht="16.5" customHeight="1" x14ac:dyDescent="0.2">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1:28" ht="16.5" customHeight="1" x14ac:dyDescent="0.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1:28" ht="16.5" customHeight="1" x14ac:dyDescent="0.2">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1:28" ht="16.5" customHeight="1" x14ac:dyDescent="0.2">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1:28" ht="16.5" customHeight="1" x14ac:dyDescent="0.2">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1:28" ht="16.5" customHeight="1" x14ac:dyDescent="0.2">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1:28" ht="16.5" customHeight="1" x14ac:dyDescent="0.2">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1:28" ht="16.5" customHeight="1" x14ac:dyDescent="0.2">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1:28" ht="16.5" customHeight="1" x14ac:dyDescent="0.2">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1:28" ht="16.5" customHeight="1" x14ac:dyDescent="0.2">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1:28" ht="13.5" customHeight="1" x14ac:dyDescent="0.15"/>
    <row r="282" spans="1:28" ht="13.5" customHeight="1" x14ac:dyDescent="0.15"/>
    <row r="283" spans="1:28" ht="13.5" customHeight="1" x14ac:dyDescent="0.15"/>
    <row r="284" spans="1:28" ht="13.5" customHeight="1" x14ac:dyDescent="0.15"/>
    <row r="285" spans="1:28" ht="13.5" customHeight="1" x14ac:dyDescent="0.15"/>
    <row r="286" spans="1:28" ht="13.5" customHeight="1" x14ac:dyDescent="0.15"/>
    <row r="287" spans="1:28" ht="13.5" customHeight="1" x14ac:dyDescent="0.15"/>
    <row r="288" spans="1:2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row r="1005" ht="13.5" customHeight="1" x14ac:dyDescent="0.15"/>
    <row r="1006" ht="13.5" customHeight="1" x14ac:dyDescent="0.15"/>
    <row r="1007" ht="13.5" customHeight="1" x14ac:dyDescent="0.15"/>
    <row r="1008" ht="13.5" customHeight="1" x14ac:dyDescent="0.15"/>
    <row r="1009" ht="13.5" customHeight="1" x14ac:dyDescent="0.15"/>
    <row r="1010" ht="13.5" customHeight="1" x14ac:dyDescent="0.15"/>
    <row r="1011" ht="13.5" customHeight="1" x14ac:dyDescent="0.15"/>
    <row r="1012" ht="13.5" customHeight="1" x14ac:dyDescent="0.15"/>
    <row r="1013" ht="13.5" customHeight="1" x14ac:dyDescent="0.15"/>
    <row r="1014" ht="13.5" customHeight="1" x14ac:dyDescent="0.15"/>
    <row r="1015" ht="13.5" customHeight="1" x14ac:dyDescent="0.15"/>
    <row r="1016" ht="13.5" customHeight="1" x14ac:dyDescent="0.15"/>
    <row r="1017" ht="13.5" customHeight="1" x14ac:dyDescent="0.15"/>
    <row r="1018" ht="13.5" customHeight="1" x14ac:dyDescent="0.15"/>
    <row r="1019" ht="13.5" customHeight="1" x14ac:dyDescent="0.15"/>
    <row r="1020" ht="13.5" customHeight="1" x14ac:dyDescent="0.15"/>
  </sheetData>
  <mergeCells count="40">
    <mergeCell ref="E68:N68"/>
    <mergeCell ref="D79:N79"/>
    <mergeCell ref="D80:N80"/>
    <mergeCell ref="E76:N76"/>
    <mergeCell ref="D69:N69"/>
    <mergeCell ref="E70:N70"/>
    <mergeCell ref="E71:N71"/>
    <mergeCell ref="E72:N72"/>
    <mergeCell ref="E73:N73"/>
    <mergeCell ref="E74:N74"/>
    <mergeCell ref="E75:N75"/>
    <mergeCell ref="E64:N64"/>
    <mergeCell ref="E65:N65"/>
    <mergeCell ref="E66:N66"/>
    <mergeCell ref="E67:N67"/>
    <mergeCell ref="D57:N57"/>
    <mergeCell ref="D60:N60"/>
    <mergeCell ref="D61:N61"/>
    <mergeCell ref="E62:N62"/>
    <mergeCell ref="E63:N63"/>
    <mergeCell ref="D44:N44"/>
    <mergeCell ref="D46:N46"/>
    <mergeCell ref="D47:N48"/>
    <mergeCell ref="D50:N50"/>
    <mergeCell ref="D56:N56"/>
    <mergeCell ref="D51:N51"/>
    <mergeCell ref="D53:N53"/>
    <mergeCell ref="D54:N54"/>
    <mergeCell ref="D19:N21"/>
    <mergeCell ref="D24:N25"/>
    <mergeCell ref="D38:N38"/>
    <mergeCell ref="D39:N41"/>
    <mergeCell ref="D43:N43"/>
    <mergeCell ref="D28:N29"/>
    <mergeCell ref="D33:N34"/>
    <mergeCell ref="D4:N4"/>
    <mergeCell ref="D5:N7"/>
    <mergeCell ref="D10:N10"/>
    <mergeCell ref="D11:N12"/>
    <mergeCell ref="D15:N16"/>
  </mergeCells>
  <pageMargins left="0" right="0" top="0" bottom="0"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3BAC-A458-FC4B-8B7B-835CE7196482}">
  <sheetPr>
    <tabColor rgb="FF002060"/>
  </sheetPr>
  <dimension ref="A1:N78"/>
  <sheetViews>
    <sheetView showGridLines="0" zoomScaleNormal="100" workbookViewId="0">
      <selection activeCell="F6" sqref="F6"/>
    </sheetView>
  </sheetViews>
  <sheetFormatPr baseColWidth="10" defaultRowHeight="16" x14ac:dyDescent="0.2"/>
  <cols>
    <col min="1" max="1" width="22.6640625" style="21" customWidth="1"/>
    <col min="2" max="2" width="3.33203125" style="21" customWidth="1"/>
    <col min="3" max="3" width="2.5" style="21" customWidth="1"/>
    <col min="4" max="4" width="68.5" style="21" customWidth="1"/>
    <col min="5" max="5" width="9.5" style="21" customWidth="1"/>
    <col min="6" max="6" width="17.5" style="48" customWidth="1"/>
    <col min="7" max="7" width="1.6640625" style="21" customWidth="1"/>
    <col min="8" max="8" width="17.5" style="22" customWidth="1"/>
    <col min="9" max="9" width="0.83203125" style="22" customWidth="1"/>
    <col min="10" max="10" width="1.6640625" style="22" customWidth="1"/>
    <col min="11" max="11" width="3.33203125" style="21" customWidth="1"/>
    <col min="12" max="16384" width="10.83203125" style="21"/>
  </cols>
  <sheetData>
    <row r="1" spans="1:11" ht="46" customHeight="1" x14ac:dyDescent="0.25">
      <c r="A1" s="80"/>
      <c r="B1" s="81"/>
      <c r="C1" s="82" t="s">
        <v>70</v>
      </c>
      <c r="D1" s="83"/>
      <c r="E1" s="83"/>
      <c r="F1" s="84"/>
      <c r="G1" s="83"/>
      <c r="H1" s="83"/>
      <c r="I1" s="83"/>
      <c r="J1" s="83"/>
      <c r="K1" s="85"/>
    </row>
    <row r="2" spans="1:11" ht="10" customHeight="1" x14ac:dyDescent="0.25">
      <c r="A2" s="86"/>
      <c r="B2" s="53"/>
      <c r="C2" s="57"/>
      <c r="D2" s="58"/>
      <c r="E2" s="58"/>
      <c r="F2" s="59"/>
      <c r="G2" s="58"/>
      <c r="H2" s="58"/>
      <c r="I2" s="58"/>
      <c r="J2" s="58"/>
      <c r="K2" s="87"/>
    </row>
    <row r="3" spans="1:11" ht="30" customHeight="1" x14ac:dyDescent="0.25">
      <c r="A3" s="86"/>
      <c r="B3" s="53"/>
      <c r="C3" s="101"/>
      <c r="D3" s="105" t="s">
        <v>1</v>
      </c>
      <c r="E3" s="102"/>
      <c r="F3" s="103"/>
      <c r="G3" s="102"/>
      <c r="H3" s="102"/>
      <c r="I3" s="102"/>
      <c r="J3" s="104"/>
      <c r="K3" s="87"/>
    </row>
    <row r="4" spans="1:11" ht="15" customHeight="1" x14ac:dyDescent="0.2">
      <c r="A4" s="86"/>
      <c r="B4" s="53"/>
      <c r="C4" s="63"/>
      <c r="D4" s="272" t="s">
        <v>127</v>
      </c>
      <c r="E4" s="60"/>
      <c r="F4" s="61"/>
      <c r="G4" s="24"/>
      <c r="H4" s="61"/>
      <c r="I4" s="61"/>
      <c r="J4" s="64"/>
      <c r="K4" s="87"/>
    </row>
    <row r="5" spans="1:11" ht="15" customHeight="1" x14ac:dyDescent="0.2">
      <c r="A5" s="88" t="s">
        <v>70</v>
      </c>
      <c r="B5" s="53"/>
      <c r="C5" s="63"/>
      <c r="D5" s="272"/>
      <c r="E5" s="60"/>
      <c r="F5" s="106" t="s">
        <v>74</v>
      </c>
      <c r="G5" s="94"/>
      <c r="H5" s="106" t="s">
        <v>75</v>
      </c>
      <c r="I5" s="106"/>
      <c r="J5" s="64"/>
      <c r="K5" s="87"/>
    </row>
    <row r="6" spans="1:11" ht="20" customHeight="1" x14ac:dyDescent="0.2">
      <c r="A6" s="86"/>
      <c r="B6" s="53"/>
      <c r="C6" s="65"/>
      <c r="D6" s="272"/>
      <c r="E6" s="60"/>
      <c r="F6" s="112"/>
      <c r="G6" s="26"/>
      <c r="H6" s="112"/>
      <c r="I6" s="172"/>
      <c r="J6" s="64"/>
      <c r="K6" s="87"/>
    </row>
    <row r="7" spans="1:11" ht="20" customHeight="1" x14ac:dyDescent="0.2">
      <c r="A7" s="86"/>
      <c r="B7" s="53"/>
      <c r="C7" s="65"/>
      <c r="D7" s="273"/>
      <c r="E7" s="97"/>
      <c r="F7" s="98"/>
      <c r="G7" s="99"/>
      <c r="H7" s="113"/>
      <c r="I7" s="98"/>
      <c r="J7" s="100"/>
      <c r="K7" s="87"/>
    </row>
    <row r="8" spans="1:11" ht="10" customHeight="1" x14ac:dyDescent="0.2">
      <c r="A8" s="86"/>
      <c r="B8" s="53"/>
      <c r="C8" s="115"/>
      <c r="D8" s="62"/>
      <c r="E8" s="60"/>
      <c r="F8" s="95"/>
      <c r="G8" s="26"/>
      <c r="H8" s="95"/>
      <c r="I8" s="95"/>
      <c r="J8" s="64"/>
      <c r="K8" s="87"/>
    </row>
    <row r="9" spans="1:11" ht="15" customHeight="1" x14ac:dyDescent="0.2">
      <c r="A9" s="86"/>
      <c r="B9" s="53"/>
      <c r="C9" s="65"/>
      <c r="D9" s="271" t="s">
        <v>76</v>
      </c>
      <c r="E9" s="50"/>
      <c r="F9" s="106" t="s">
        <v>72</v>
      </c>
      <c r="G9" s="93"/>
      <c r="H9" s="106" t="s">
        <v>73</v>
      </c>
      <c r="I9" s="106"/>
      <c r="J9" s="64"/>
      <c r="K9" s="87"/>
    </row>
    <row r="10" spans="1:11" ht="21" customHeight="1" x14ac:dyDescent="0.2">
      <c r="A10" s="86"/>
      <c r="B10" s="53"/>
      <c r="C10" s="65"/>
      <c r="D10" s="271"/>
      <c r="E10" s="50"/>
      <c r="F10" s="111">
        <f>MIN('Journal Entries &amp; Lines'!C:C)</f>
        <v>0</v>
      </c>
      <c r="G10" s="110"/>
      <c r="H10" s="111">
        <f>MAX('Journal Entries &amp; Lines'!C:C)</f>
        <v>0</v>
      </c>
      <c r="I10" s="161"/>
      <c r="J10" s="64"/>
      <c r="K10" s="87"/>
    </row>
    <row r="11" spans="1:11" ht="15" customHeight="1" x14ac:dyDescent="0.2">
      <c r="A11" s="86"/>
      <c r="B11" s="53"/>
      <c r="C11" s="65"/>
      <c r="D11" s="96"/>
      <c r="E11" s="50"/>
      <c r="F11" s="95"/>
      <c r="G11" s="24"/>
      <c r="H11" s="95"/>
      <c r="I11" s="95"/>
      <c r="J11" s="64"/>
      <c r="K11" s="87"/>
    </row>
    <row r="12" spans="1:11" ht="31" customHeight="1" x14ac:dyDescent="0.2">
      <c r="A12" s="86"/>
      <c r="B12" s="53"/>
      <c r="C12" s="91"/>
      <c r="D12" s="56" t="s">
        <v>81</v>
      </c>
      <c r="E12" s="54"/>
      <c r="F12" s="55"/>
      <c r="G12" s="54"/>
      <c r="H12" s="118" t="s">
        <v>82</v>
      </c>
      <c r="I12" s="118"/>
      <c r="J12" s="117"/>
      <c r="K12" s="87"/>
    </row>
    <row r="13" spans="1:11" ht="10" customHeight="1" x14ac:dyDescent="0.2">
      <c r="A13" s="86"/>
      <c r="B13" s="53"/>
      <c r="C13" s="65"/>
      <c r="D13" s="96"/>
      <c r="E13" s="50"/>
      <c r="F13" s="95"/>
      <c r="G13" s="24"/>
      <c r="H13" s="95"/>
      <c r="I13" s="95"/>
      <c r="J13" s="64"/>
      <c r="K13" s="87"/>
    </row>
    <row r="14" spans="1:11" ht="35" customHeight="1" x14ac:dyDescent="0.2">
      <c r="A14" s="86"/>
      <c r="B14" s="53"/>
      <c r="C14" s="65"/>
      <c r="D14" s="270" t="s">
        <v>83</v>
      </c>
      <c r="E14" s="270"/>
      <c r="F14" s="270"/>
      <c r="G14" s="116"/>
      <c r="H14" s="116"/>
      <c r="I14" s="116"/>
      <c r="J14" s="64"/>
      <c r="K14" s="87"/>
    </row>
    <row r="15" spans="1:11" ht="10" customHeight="1" x14ac:dyDescent="0.2">
      <c r="A15" s="86"/>
      <c r="B15" s="53"/>
      <c r="C15" s="65"/>
      <c r="D15" s="114"/>
      <c r="E15" s="50"/>
      <c r="F15" s="95"/>
      <c r="G15" s="24"/>
      <c r="H15" s="95"/>
      <c r="I15" s="95"/>
      <c r="J15" s="64"/>
      <c r="K15" s="87"/>
    </row>
    <row r="16" spans="1:11" ht="20" customHeight="1" x14ac:dyDescent="0.2">
      <c r="A16" s="86"/>
      <c r="B16" s="53"/>
      <c r="C16" s="65"/>
      <c r="D16" s="24" t="s">
        <v>86</v>
      </c>
      <c r="E16" s="50"/>
      <c r="F16" s="95"/>
      <c r="G16" s="24"/>
      <c r="H16" s="108" t="b">
        <v>0</v>
      </c>
      <c r="I16" s="27"/>
      <c r="J16" s="64"/>
      <c r="K16" s="87"/>
    </row>
    <row r="17" spans="1:11" ht="10" customHeight="1" x14ac:dyDescent="0.2">
      <c r="A17" s="86"/>
      <c r="B17" s="53"/>
      <c r="C17" s="65"/>
      <c r="D17" s="24"/>
      <c r="E17" s="50"/>
      <c r="F17" s="95"/>
      <c r="G17" s="24"/>
      <c r="H17" s="95"/>
      <c r="I17" s="95"/>
      <c r="J17" s="64"/>
      <c r="K17" s="87"/>
    </row>
    <row r="18" spans="1:11" ht="20" customHeight="1" x14ac:dyDescent="0.2">
      <c r="A18" s="86"/>
      <c r="B18" s="53"/>
      <c r="C18" s="65"/>
      <c r="D18" s="24" t="s">
        <v>87</v>
      </c>
      <c r="E18" s="50"/>
      <c r="F18" s="95"/>
      <c r="G18" s="24"/>
      <c r="H18" s="108" t="b">
        <v>0</v>
      </c>
      <c r="I18" s="27"/>
      <c r="J18" s="64"/>
      <c r="K18" s="87"/>
    </row>
    <row r="19" spans="1:11" ht="10" customHeight="1" x14ac:dyDescent="0.2">
      <c r="A19" s="86"/>
      <c r="B19" s="53"/>
      <c r="C19" s="65"/>
      <c r="D19" s="24"/>
      <c r="E19" s="50"/>
      <c r="F19" s="95"/>
      <c r="G19" s="24"/>
      <c r="H19" s="95"/>
      <c r="I19" s="95"/>
      <c r="J19" s="64"/>
      <c r="K19" s="87"/>
    </row>
    <row r="20" spans="1:11" ht="20" customHeight="1" x14ac:dyDescent="0.2">
      <c r="A20" s="86"/>
      <c r="B20" s="53"/>
      <c r="C20" s="65"/>
      <c r="D20" s="24" t="s">
        <v>84</v>
      </c>
      <c r="E20" s="50"/>
      <c r="F20" s="95"/>
      <c r="G20" s="24"/>
      <c r="H20" s="108" t="b">
        <v>0</v>
      </c>
      <c r="I20" s="27"/>
      <c r="J20" s="64"/>
      <c r="K20" s="87"/>
    </row>
    <row r="21" spans="1:11" ht="10" customHeight="1" x14ac:dyDescent="0.2">
      <c r="A21" s="86"/>
      <c r="B21" s="53"/>
      <c r="C21" s="65"/>
      <c r="D21" s="24"/>
      <c r="E21" s="50"/>
      <c r="F21" s="95"/>
      <c r="G21" s="24"/>
      <c r="H21" s="95"/>
      <c r="I21" s="95"/>
      <c r="J21" s="64"/>
      <c r="K21" s="87"/>
    </row>
    <row r="22" spans="1:11" ht="20" customHeight="1" x14ac:dyDescent="0.2">
      <c r="A22" s="86"/>
      <c r="B22" s="53"/>
      <c r="C22" s="65"/>
      <c r="D22" s="89" t="s">
        <v>88</v>
      </c>
      <c r="E22" s="50"/>
      <c r="F22" s="95"/>
      <c r="G22" s="24"/>
      <c r="H22" s="108" t="b">
        <v>0</v>
      </c>
      <c r="I22" s="27"/>
      <c r="J22" s="64"/>
      <c r="K22" s="87"/>
    </row>
    <row r="23" spans="1:11" ht="10" customHeight="1" x14ac:dyDescent="0.2">
      <c r="A23" s="86"/>
      <c r="B23" s="53"/>
      <c r="C23" s="65"/>
      <c r="D23" s="89"/>
      <c r="E23" s="50"/>
      <c r="F23" s="95"/>
      <c r="G23" s="24"/>
      <c r="H23" s="27"/>
      <c r="I23" s="27"/>
      <c r="J23" s="64"/>
      <c r="K23" s="87"/>
    </row>
    <row r="24" spans="1:11" ht="20" customHeight="1" x14ac:dyDescent="0.2">
      <c r="A24" s="86"/>
      <c r="B24" s="53"/>
      <c r="C24" s="65"/>
      <c r="D24" s="89" t="s">
        <v>89</v>
      </c>
      <c r="E24" s="50"/>
      <c r="F24" s="95"/>
      <c r="G24" s="24"/>
      <c r="H24" s="108" t="b">
        <v>0</v>
      </c>
      <c r="I24" s="27"/>
      <c r="J24" s="64"/>
      <c r="K24" s="87"/>
    </row>
    <row r="25" spans="1:11" ht="20" customHeight="1" x14ac:dyDescent="0.2">
      <c r="A25" s="86"/>
      <c r="B25" s="53"/>
      <c r="C25" s="65"/>
      <c r="D25" s="89"/>
      <c r="E25" s="50"/>
      <c r="F25" s="95"/>
      <c r="G25" s="24"/>
      <c r="H25" s="27"/>
      <c r="I25" s="27"/>
      <c r="J25" s="64"/>
      <c r="K25" s="87"/>
    </row>
    <row r="26" spans="1:11" ht="5" customHeight="1" x14ac:dyDescent="0.2">
      <c r="A26" s="86"/>
      <c r="B26" s="53"/>
      <c r="C26" s="65"/>
      <c r="D26" s="180"/>
      <c r="E26" s="181"/>
      <c r="F26" s="182"/>
      <c r="G26" s="183"/>
      <c r="H26" s="184"/>
      <c r="I26" s="178"/>
      <c r="J26" s="64"/>
      <c r="K26" s="87"/>
    </row>
    <row r="27" spans="1:11" ht="31" customHeight="1" x14ac:dyDescent="0.2">
      <c r="A27" s="86"/>
      <c r="B27" s="53"/>
      <c r="C27" s="65"/>
      <c r="D27" s="275" t="s">
        <v>133</v>
      </c>
      <c r="E27" s="276"/>
      <c r="F27" s="276"/>
      <c r="G27" s="276"/>
      <c r="H27" s="277"/>
      <c r="I27" s="179"/>
      <c r="J27" s="64"/>
      <c r="K27" s="87"/>
    </row>
    <row r="28" spans="1:11" ht="5" customHeight="1" x14ac:dyDescent="0.2">
      <c r="A28" s="86"/>
      <c r="B28" s="53"/>
      <c r="C28" s="65"/>
      <c r="D28" s="185"/>
      <c r="E28" s="186"/>
      <c r="F28" s="186"/>
      <c r="G28" s="187"/>
      <c r="H28" s="188"/>
      <c r="I28" s="179"/>
      <c r="J28" s="64"/>
      <c r="K28" s="87"/>
    </row>
    <row r="29" spans="1:11" ht="15" customHeight="1" x14ac:dyDescent="0.2">
      <c r="A29" s="86"/>
      <c r="B29" s="53"/>
      <c r="C29" s="65"/>
      <c r="D29" s="96"/>
      <c r="E29" s="50"/>
      <c r="F29" s="95"/>
      <c r="G29" s="24"/>
      <c r="H29" s="95"/>
      <c r="I29" s="95"/>
      <c r="J29" s="64"/>
      <c r="K29" s="87"/>
    </row>
    <row r="30" spans="1:11" ht="20" customHeight="1" x14ac:dyDescent="0.2">
      <c r="A30" s="86"/>
      <c r="B30" s="53"/>
      <c r="C30" s="65"/>
      <c r="E30" s="50"/>
      <c r="F30" s="189" t="s">
        <v>134</v>
      </c>
      <c r="G30" s="24"/>
      <c r="H30" s="112"/>
      <c r="I30" s="27"/>
      <c r="J30" s="64"/>
      <c r="K30" s="87"/>
    </row>
    <row r="31" spans="1:11" ht="5" customHeight="1" x14ac:dyDescent="0.2">
      <c r="A31" s="86"/>
      <c r="B31" s="53"/>
      <c r="C31" s="65"/>
      <c r="D31" s="160"/>
      <c r="E31" s="160"/>
      <c r="F31" s="160"/>
      <c r="G31" s="160"/>
      <c r="H31" s="177"/>
      <c r="I31" s="160"/>
      <c r="J31" s="64"/>
      <c r="K31" s="87"/>
    </row>
    <row r="32" spans="1:11" ht="5" customHeight="1" x14ac:dyDescent="0.2">
      <c r="A32" s="86"/>
      <c r="B32" s="53"/>
      <c r="C32" s="65"/>
      <c r="D32" s="173"/>
      <c r="E32" s="174"/>
      <c r="F32" s="172"/>
      <c r="G32" s="175"/>
      <c r="H32" s="175"/>
      <c r="I32" s="49"/>
      <c r="J32" s="64"/>
      <c r="K32" s="87"/>
    </row>
    <row r="33" spans="1:11" ht="20" customHeight="1" x14ac:dyDescent="0.2">
      <c r="A33" s="86"/>
      <c r="B33" s="53"/>
      <c r="C33" s="65"/>
      <c r="D33" s="274" t="s">
        <v>136</v>
      </c>
      <c r="E33" s="274"/>
      <c r="F33" s="274"/>
      <c r="G33" s="175"/>
      <c r="H33" s="109" t="str">
        <f>IF(H30="", "input needed", IF(AND(H30&gt;F6, H30&lt;H6), "Yes", "No"))</f>
        <v>input needed</v>
      </c>
      <c r="I33" s="49"/>
      <c r="J33" s="64"/>
      <c r="K33" s="87"/>
    </row>
    <row r="34" spans="1:11" ht="20" customHeight="1" x14ac:dyDescent="0.2">
      <c r="A34" s="86"/>
      <c r="B34" s="53"/>
      <c r="C34" s="65"/>
      <c r="D34" s="176"/>
      <c r="E34" s="176"/>
      <c r="F34" s="176"/>
      <c r="G34" s="175"/>
      <c r="H34" s="175"/>
      <c r="I34" s="49"/>
      <c r="J34" s="64"/>
      <c r="K34" s="87"/>
    </row>
    <row r="35" spans="1:11" ht="20" customHeight="1" x14ac:dyDescent="0.2">
      <c r="A35" s="86"/>
      <c r="B35" s="53"/>
      <c r="C35" s="65"/>
      <c r="D35" s="269" t="s">
        <v>131</v>
      </c>
      <c r="E35" s="269"/>
      <c r="F35" s="269"/>
      <c r="G35" s="24"/>
      <c r="H35" s="190" t="b">
        <v>0</v>
      </c>
      <c r="I35" s="27"/>
      <c r="J35" s="64"/>
      <c r="K35" s="87"/>
    </row>
    <row r="36" spans="1:11" ht="20" customHeight="1" x14ac:dyDescent="0.2">
      <c r="A36" s="86"/>
      <c r="B36" s="53"/>
      <c r="C36" s="65"/>
      <c r="D36" s="269" t="s">
        <v>132</v>
      </c>
      <c r="E36" s="269"/>
      <c r="F36" s="269"/>
      <c r="G36" s="24"/>
      <c r="H36" s="95"/>
      <c r="I36" s="95"/>
      <c r="J36" s="64"/>
      <c r="K36" s="87"/>
    </row>
    <row r="37" spans="1:11" ht="10" customHeight="1" x14ac:dyDescent="0.2">
      <c r="A37" s="86"/>
      <c r="B37" s="53"/>
      <c r="C37" s="65"/>
      <c r="D37" s="89"/>
      <c r="E37" s="50"/>
      <c r="F37" s="95"/>
      <c r="G37" s="24"/>
      <c r="H37" s="27"/>
      <c r="I37" s="27"/>
      <c r="J37" s="64"/>
      <c r="K37" s="87"/>
    </row>
    <row r="38" spans="1:11" ht="34" customHeight="1" x14ac:dyDescent="0.2">
      <c r="A38" s="86"/>
      <c r="B38" s="53"/>
      <c r="C38" s="65"/>
      <c r="D38" s="269" t="s">
        <v>135</v>
      </c>
      <c r="E38" s="269"/>
      <c r="F38" s="269"/>
      <c r="G38" s="24"/>
      <c r="H38" s="27"/>
      <c r="I38" s="27"/>
      <c r="J38" s="64"/>
      <c r="K38" s="87"/>
    </row>
    <row r="39" spans="1:11" ht="15" customHeight="1" x14ac:dyDescent="0.2">
      <c r="A39" s="86"/>
      <c r="B39" s="53"/>
      <c r="C39" s="65"/>
      <c r="D39" s="114"/>
      <c r="E39" s="50"/>
      <c r="F39" s="95"/>
      <c r="G39" s="24"/>
      <c r="H39" s="95"/>
      <c r="I39" s="95"/>
      <c r="J39" s="64"/>
      <c r="K39" s="87"/>
    </row>
    <row r="40" spans="1:11" ht="15" customHeight="1" x14ac:dyDescent="0.2">
      <c r="A40" s="86"/>
      <c r="B40" s="53"/>
      <c r="C40" s="65"/>
      <c r="D40" s="114"/>
      <c r="E40" s="50"/>
      <c r="F40" s="95"/>
      <c r="G40" s="24"/>
      <c r="H40" s="95"/>
      <c r="I40" s="95"/>
      <c r="J40" s="64"/>
      <c r="K40" s="87"/>
    </row>
    <row r="41" spans="1:11" ht="30" customHeight="1" x14ac:dyDescent="0.2">
      <c r="A41" s="86"/>
      <c r="B41" s="53"/>
      <c r="C41" s="91"/>
      <c r="D41" s="56" t="s">
        <v>14</v>
      </c>
      <c r="E41" s="54"/>
      <c r="F41" s="55"/>
      <c r="G41" s="54"/>
      <c r="H41" s="118" t="s">
        <v>82</v>
      </c>
      <c r="I41" s="118"/>
      <c r="J41" s="117"/>
      <c r="K41" s="87"/>
    </row>
    <row r="42" spans="1:11" ht="15" customHeight="1" x14ac:dyDescent="0.2">
      <c r="A42" s="86"/>
      <c r="B42" s="53"/>
      <c r="C42" s="66"/>
      <c r="D42" s="26"/>
      <c r="E42" s="26"/>
      <c r="F42" s="45"/>
      <c r="G42" s="26"/>
      <c r="H42" s="27"/>
      <c r="I42" s="27"/>
      <c r="J42" s="67"/>
      <c r="K42" s="87"/>
    </row>
    <row r="43" spans="1:11" ht="20" customHeight="1" x14ac:dyDescent="0.2">
      <c r="A43" s="88"/>
      <c r="B43" s="53"/>
      <c r="C43" s="68"/>
      <c r="D43" s="24" t="s">
        <v>85</v>
      </c>
      <c r="E43" s="24"/>
      <c r="F43" s="46"/>
      <c r="G43" s="107"/>
      <c r="H43" s="108" t="str">
        <f>IF(AND(ROUND(SUM('Comparative Trial Balances'!C:C),2)=0,ROUND(SUM('Comparative Trial Balances'!D:D),2)=0),"TRUE","FALSE")</f>
        <v>TRUE</v>
      </c>
      <c r="I43" s="27"/>
      <c r="J43" s="69"/>
      <c r="K43" s="87"/>
    </row>
    <row r="44" spans="1:11" ht="10" customHeight="1" x14ac:dyDescent="0.2">
      <c r="A44" s="88"/>
      <c r="B44" s="53"/>
      <c r="C44" s="68"/>
      <c r="D44" s="29"/>
      <c r="E44" s="24"/>
      <c r="F44" s="46"/>
      <c r="G44" s="24"/>
      <c r="H44" s="25"/>
      <c r="I44" s="25"/>
      <c r="J44" s="69"/>
      <c r="K44" s="87"/>
    </row>
    <row r="45" spans="1:11" ht="20" customHeight="1" x14ac:dyDescent="0.2">
      <c r="A45" s="88"/>
      <c r="B45" s="53"/>
      <c r="C45" s="68"/>
      <c r="D45" s="24" t="s">
        <v>148</v>
      </c>
      <c r="E45" s="24"/>
      <c r="F45" s="46"/>
      <c r="G45" s="24"/>
      <c r="H45" s="108" t="str" cm="1">
        <f t="array" ref="H45">IF(SUMPRODUCT(--(ISNUMBER(MATCH('Comparative Trial Balances'!E3:E1000000, {"Assets","Liabilities","Equity","Income","Expense",""}, 0))), --('Comparative Trial Balances'!E3:E1000000&lt;&gt;""))=COUNTA('Comparative Trial Balances'!E3:E1000000), "TRUE", "FALSE")</f>
        <v>TRUE</v>
      </c>
      <c r="I45" s="27"/>
      <c r="J45" s="69"/>
      <c r="K45" s="87"/>
    </row>
    <row r="46" spans="1:11" ht="10" customHeight="1" x14ac:dyDescent="0.2">
      <c r="A46" s="86"/>
      <c r="B46" s="53"/>
      <c r="C46" s="68"/>
      <c r="D46" s="29"/>
      <c r="E46" s="24"/>
      <c r="F46" s="46"/>
      <c r="G46" s="24"/>
      <c r="H46" s="25"/>
      <c r="I46" s="25"/>
      <c r="J46" s="69"/>
      <c r="K46" s="87"/>
    </row>
    <row r="47" spans="1:11" ht="20" customHeight="1" x14ac:dyDescent="0.2">
      <c r="A47" s="86"/>
      <c r="B47" s="53"/>
      <c r="C47" s="68"/>
      <c r="D47" s="29" t="s">
        <v>149</v>
      </c>
      <c r="E47" s="24"/>
      <c r="F47" s="46"/>
      <c r="G47" s="24"/>
      <c r="H47" s="108" t="str" cm="1">
        <f t="array" ref="H47">IF(
   SUMPRODUCT(--(ISNUMBER(SEARCH("Assets", 'Comparative Trial Balances'!E3:E1048576))), --ISNA(MATCH('Comparative Trial Balances'!F3:F1048576, 'Mapping Categories'!B2:B23, 0))) +
   SUMPRODUCT(--(ISNUMBER(SEARCH("Liabilities", 'Comparative Trial Balances'!E3:E1048576))), --ISNA(MATCH('Comparative Trial Balances'!F3:F1048576, 'Mapping Categories'!C2:C23, 0))) +
   SUMPRODUCT(--(ISNUMBER(SEARCH("Equity", 'Comparative Trial Balances'!E3:E1048576))), --ISNA(MATCH('Comparative Trial Balances'!F3:F1048576, 'Mapping Categories'!D2:D25, 0))) +
   SUMPRODUCT(--(ISNUMBER(SEARCH("Income", 'Comparative Trial Balances'!E3:E1048576))), --ISNA(MATCH('Comparative Trial Balances'!F3:F1048576, 'Mapping Categories'!E2:E23, 0))) +
   SUMPRODUCT(--(ISNUMBER(SEARCH("Expense", 'Comparative Trial Balances'!E3:E1048576))), --ISNA(MATCH('Comparative Trial Balances'!F3:F1048576, 'Mapping Categories'!F2:F23, 0))) &gt; 0,
   "FALSE",
   "TRUE"
)</f>
        <v>TRUE</v>
      </c>
      <c r="I47" s="27"/>
      <c r="J47" s="69"/>
      <c r="K47" s="87"/>
    </row>
    <row r="48" spans="1:11" ht="10" customHeight="1" x14ac:dyDescent="0.2">
      <c r="A48" s="86"/>
      <c r="B48" s="53"/>
      <c r="C48" s="68"/>
      <c r="D48" s="29"/>
      <c r="E48" s="24"/>
      <c r="F48" s="46"/>
      <c r="G48" s="24"/>
      <c r="H48" s="25"/>
      <c r="I48" s="25"/>
      <c r="J48" s="69"/>
      <c r="K48" s="87"/>
    </row>
    <row r="49" spans="1:14" ht="20" customHeight="1" x14ac:dyDescent="0.2">
      <c r="A49" s="86"/>
      <c r="B49" s="53"/>
      <c r="C49" s="68"/>
      <c r="D49" s="24" t="s">
        <v>150</v>
      </c>
      <c r="E49" s="24"/>
      <c r="F49" s="46"/>
      <c r="G49" s="24"/>
      <c r="H49" s="108" t="str" cm="1">
        <f t="array" ref="H49">IF(SUMPRODUCT(MAX(('Comparative Trial Balances'!$A:$G&lt;&gt;"")*(ROW('Comparative Trial Balances'!$A:$G)))) + 1 &gt;MATCH(TRUE, ISBLANK('Comparative Trial Balances'!A:A), 0),"FALSE","TRUE")</f>
        <v>TRUE</v>
      </c>
      <c r="I49" s="27"/>
      <c r="J49" s="69"/>
      <c r="K49" s="87"/>
    </row>
    <row r="50" spans="1:14" ht="10" customHeight="1" x14ac:dyDescent="0.2">
      <c r="A50" s="86"/>
      <c r="B50" s="53"/>
      <c r="C50" s="68"/>
      <c r="D50" s="29"/>
      <c r="E50" s="24"/>
      <c r="F50" s="46"/>
      <c r="G50" s="24"/>
      <c r="H50" s="25"/>
      <c r="I50" s="25"/>
      <c r="J50" s="69"/>
      <c r="K50" s="87"/>
    </row>
    <row r="51" spans="1:14" ht="20" customHeight="1" x14ac:dyDescent="0.2">
      <c r="A51" s="86"/>
      <c r="B51" s="53"/>
      <c r="C51" s="68"/>
      <c r="D51" s="24" t="s">
        <v>151</v>
      </c>
      <c r="E51" s="24"/>
      <c r="F51" s="46"/>
      <c r="G51" s="24"/>
      <c r="H51" s="108" t="str">
        <f>IF(COUNTIF('Comparative Trial Balances'!H:XCF,"&lt;&gt;")&gt;0, "FALSE", "TRUE")</f>
        <v>TRUE</v>
      </c>
      <c r="I51" s="27"/>
      <c r="J51" s="69"/>
      <c r="K51" s="87"/>
      <c r="N51" s="28"/>
    </row>
    <row r="52" spans="1:14" ht="15" customHeight="1" x14ac:dyDescent="0.2">
      <c r="A52" s="86"/>
      <c r="B52" s="53"/>
      <c r="C52" s="70"/>
      <c r="D52" s="24"/>
      <c r="E52" s="24"/>
      <c r="F52" s="46"/>
      <c r="G52" s="24"/>
      <c r="H52" s="25"/>
      <c r="I52" s="25"/>
      <c r="J52" s="69"/>
      <c r="K52" s="87"/>
    </row>
    <row r="53" spans="1:14" ht="30" customHeight="1" x14ac:dyDescent="0.2">
      <c r="A53" s="86"/>
      <c r="B53" s="53"/>
      <c r="C53" s="91"/>
      <c r="D53" s="56" t="s">
        <v>71</v>
      </c>
      <c r="E53" s="92"/>
      <c r="F53" s="92"/>
      <c r="G53" s="54"/>
      <c r="H53" s="118" t="s">
        <v>82</v>
      </c>
      <c r="I53" s="118"/>
      <c r="J53" s="117"/>
      <c r="K53" s="87"/>
    </row>
    <row r="54" spans="1:14" ht="15" customHeight="1" x14ac:dyDescent="0.2">
      <c r="A54" s="86"/>
      <c r="B54" s="53"/>
      <c r="C54" s="70"/>
      <c r="D54" s="30"/>
      <c r="E54" s="30"/>
      <c r="F54" s="30"/>
      <c r="G54" s="30"/>
      <c r="H54" s="30"/>
      <c r="I54" s="30"/>
      <c r="J54" s="69"/>
      <c r="K54" s="87"/>
    </row>
    <row r="55" spans="1:14" ht="20" customHeight="1" x14ac:dyDescent="0.2">
      <c r="A55" s="86"/>
      <c r="B55" s="53"/>
      <c r="C55" s="68"/>
      <c r="D55" s="24" t="s">
        <v>79</v>
      </c>
      <c r="E55" s="49"/>
      <c r="F55" s="52"/>
      <c r="G55" s="24"/>
      <c r="H55" s="109" t="str">
        <f>IF(AND(MIN('Journal Entries &amp; Lines'!C:C)=F6,MAX('Journal Entries &amp; Lines'!C:C)=H6), "YES", "NO")</f>
        <v>YES</v>
      </c>
      <c r="I55" s="159"/>
      <c r="J55" s="69"/>
      <c r="K55" s="87"/>
    </row>
    <row r="56" spans="1:14" ht="10" customHeight="1" x14ac:dyDescent="0.2">
      <c r="A56" s="86"/>
      <c r="B56" s="53"/>
      <c r="C56" s="68"/>
      <c r="D56" s="29"/>
      <c r="E56" s="49"/>
      <c r="F56" s="52"/>
      <c r="G56" s="24"/>
      <c r="H56" s="25"/>
      <c r="I56" s="25"/>
      <c r="J56" s="69"/>
      <c r="K56" s="87"/>
    </row>
    <row r="57" spans="1:14" ht="20" customHeight="1" x14ac:dyDescent="0.2">
      <c r="A57" s="86"/>
      <c r="B57" s="53"/>
      <c r="C57" s="68"/>
      <c r="D57" s="24" t="s">
        <v>80</v>
      </c>
      <c r="E57" s="49"/>
      <c r="F57" s="52"/>
      <c r="G57" s="24"/>
      <c r="H57" s="109" t="str">
        <f>IF(OR(MAX('Journal Entries &amp; Lines'!C:C)&gt;'Data Validation Tests'!H6,MIN('Journal Entries &amp; Lines'!C:C)&lt;'Data Validation Tests'!F6), "NO", "YES")</f>
        <v>YES</v>
      </c>
      <c r="I57" s="159"/>
      <c r="J57" s="69"/>
      <c r="K57" s="87"/>
    </row>
    <row r="58" spans="1:14" ht="10" customHeight="1" x14ac:dyDescent="0.2">
      <c r="A58" s="86"/>
      <c r="B58" s="53"/>
      <c r="C58" s="70"/>
      <c r="D58" s="24"/>
      <c r="E58" s="24"/>
      <c r="F58" s="46"/>
      <c r="G58" s="24"/>
      <c r="H58" s="25"/>
      <c r="I58" s="25"/>
      <c r="J58" s="69"/>
      <c r="K58" s="87"/>
    </row>
    <row r="59" spans="1:14" ht="20" customHeight="1" x14ac:dyDescent="0.2">
      <c r="A59" s="86"/>
      <c r="B59" s="53"/>
      <c r="C59" s="68"/>
      <c r="D59" s="24" t="s">
        <v>77</v>
      </c>
      <c r="E59" s="24"/>
      <c r="F59" s="46"/>
      <c r="G59" s="24"/>
      <c r="H59" s="108" t="str">
        <f>IF(OR(COUNTIF('Journal Entries &amp; Lines'!F:F,"&lt;0")&gt;0,COUNTA('Journal Entries &amp; Lines'!F3:F1048576)&lt;&gt;COUNT('Journal Entries &amp; Lines'!F3:F1048576)), "FALSE", "TRUE")</f>
        <v>TRUE</v>
      </c>
      <c r="I59" s="27"/>
      <c r="J59" s="69"/>
      <c r="K59" s="87"/>
    </row>
    <row r="60" spans="1:14" ht="10" customHeight="1" x14ac:dyDescent="0.2">
      <c r="A60" s="86"/>
      <c r="B60" s="53"/>
      <c r="C60" s="70"/>
      <c r="D60" s="24"/>
      <c r="E60" s="24"/>
      <c r="F60" s="46"/>
      <c r="G60" s="24"/>
      <c r="H60" s="25"/>
      <c r="I60" s="25"/>
      <c r="J60" s="69"/>
      <c r="K60" s="87"/>
    </row>
    <row r="61" spans="1:14" ht="20" customHeight="1" x14ac:dyDescent="0.2">
      <c r="A61" s="86"/>
      <c r="B61" s="53"/>
      <c r="C61" s="68"/>
      <c r="D61" s="24" t="s">
        <v>78</v>
      </c>
      <c r="E61" s="24"/>
      <c r="F61" s="46"/>
      <c r="G61" s="24"/>
      <c r="H61" s="108" t="str">
        <f>IF(OR(COUNTIF('Journal Entries &amp; Lines'!G:G,"&lt;0")&gt;0,COUNTA('Journal Entries &amp; Lines'!G3:G1048576)&lt;&gt;COUNT('Journal Entries &amp; Lines'!G3:G1048576)), "FALSE", "TRUE")</f>
        <v>TRUE</v>
      </c>
      <c r="I61" s="27"/>
      <c r="J61" s="69"/>
      <c r="K61" s="87"/>
    </row>
    <row r="62" spans="1:14" ht="10" customHeight="1" x14ac:dyDescent="0.2">
      <c r="A62" s="86"/>
      <c r="B62" s="53"/>
      <c r="C62" s="70"/>
      <c r="D62" s="24"/>
      <c r="E62" s="24"/>
      <c r="F62" s="46"/>
      <c r="G62" s="24"/>
      <c r="H62" s="25"/>
      <c r="I62" s="25"/>
      <c r="J62" s="69"/>
      <c r="K62" s="87"/>
    </row>
    <row r="63" spans="1:14" ht="20" customHeight="1" x14ac:dyDescent="0.2">
      <c r="A63" s="86"/>
      <c r="B63" s="53"/>
      <c r="C63" s="68"/>
      <c r="D63" s="24" t="s">
        <v>144</v>
      </c>
      <c r="E63" s="24"/>
      <c r="F63" s="46"/>
      <c r="G63" s="24"/>
      <c r="H63" s="108" t="str">
        <f>IF(ROUND(SUM('Journal Entries &amp; Lines'!F:F),0.01) &lt;&gt; ROUND(SUM('Journal Entries &amp; Lines'!G:G),0.01), "FALSE", "TRUE")</f>
        <v>TRUE</v>
      </c>
      <c r="I63" s="27"/>
      <c r="J63" s="69"/>
      <c r="K63" s="87"/>
    </row>
    <row r="64" spans="1:14" ht="11" customHeight="1" x14ac:dyDescent="0.2">
      <c r="A64" s="86"/>
      <c r="B64" s="53"/>
      <c r="C64" s="71"/>
      <c r="D64" s="24"/>
      <c r="E64" s="24"/>
      <c r="F64" s="46"/>
      <c r="G64" s="24"/>
      <c r="H64" s="25"/>
      <c r="I64" s="25"/>
      <c r="J64" s="69"/>
      <c r="K64" s="87"/>
    </row>
    <row r="65" spans="1:12" ht="20" customHeight="1" x14ac:dyDescent="0.2">
      <c r="A65" s="86"/>
      <c r="B65" s="53"/>
      <c r="C65" s="72"/>
      <c r="D65" s="30" t="s">
        <v>145</v>
      </c>
      <c r="E65" s="30"/>
      <c r="F65" s="47"/>
      <c r="G65" s="30"/>
      <c r="H65" s="108" t="str" cm="1">
        <f t="array" ref="H65">IF(SUMPRODUCT(MAX(('Journal Entries &amp; Lines'!$A:$G&lt;&gt;"")*(ROW('Journal Entries &amp; Lines'!$A:$G)))) + 1 &gt; MATCH(TRUE, ISBLANK('Journal Entries &amp; Lines'!A:A), 0), "FALSE", "TRUE")</f>
        <v>TRUE</v>
      </c>
      <c r="I65" s="27"/>
      <c r="J65" s="73"/>
      <c r="K65" s="87"/>
    </row>
    <row r="66" spans="1:12" ht="10" customHeight="1" x14ac:dyDescent="0.2">
      <c r="A66" s="86"/>
      <c r="B66" s="53"/>
      <c r="C66" s="74"/>
      <c r="D66" s="30"/>
      <c r="E66" s="30"/>
      <c r="F66" s="47"/>
      <c r="G66" s="30"/>
      <c r="H66" s="25"/>
      <c r="I66" s="25"/>
      <c r="J66" s="73"/>
      <c r="K66" s="87"/>
    </row>
    <row r="67" spans="1:12" ht="20" customHeight="1" x14ac:dyDescent="0.2">
      <c r="A67" s="86"/>
      <c r="B67" s="53"/>
      <c r="C67" s="72"/>
      <c r="D67" s="30" t="s">
        <v>146</v>
      </c>
      <c r="E67" s="30"/>
      <c r="F67" s="47"/>
      <c r="G67" s="30"/>
      <c r="H67" s="108" t="str">
        <f>IF(COUNTIF('Journal Entries &amp; Lines'!H:XCW,"&lt;&gt;")&gt;0, "FALSE", "TRUE")</f>
        <v>TRUE</v>
      </c>
      <c r="I67" s="27"/>
      <c r="J67" s="73"/>
      <c r="K67" s="87"/>
    </row>
    <row r="68" spans="1:12" ht="15" customHeight="1" x14ac:dyDescent="0.2">
      <c r="A68" s="86"/>
      <c r="B68" s="53"/>
      <c r="C68" s="128"/>
      <c r="D68" s="30"/>
      <c r="E68" s="30"/>
      <c r="F68" s="47"/>
      <c r="G68" s="30"/>
      <c r="H68" s="25"/>
      <c r="I68" s="25"/>
      <c r="J68" s="73"/>
      <c r="K68" s="87"/>
    </row>
    <row r="69" spans="1:12" ht="30" customHeight="1" x14ac:dyDescent="0.2">
      <c r="A69" s="86"/>
      <c r="B69" s="53"/>
      <c r="C69" s="91"/>
      <c r="D69" s="56" t="s">
        <v>114</v>
      </c>
      <c r="E69" s="92"/>
      <c r="F69" s="92"/>
      <c r="G69" s="54"/>
      <c r="H69" s="118"/>
      <c r="I69" s="118"/>
      <c r="J69" s="117"/>
      <c r="K69" s="87"/>
    </row>
    <row r="70" spans="1:12" ht="15" customHeight="1" x14ac:dyDescent="0.2">
      <c r="A70" s="86"/>
      <c r="B70" s="87"/>
      <c r="J70" s="73"/>
      <c r="K70" s="87"/>
    </row>
    <row r="71" spans="1:12" ht="20" customHeight="1" x14ac:dyDescent="0.2">
      <c r="A71" s="86"/>
      <c r="B71" s="87"/>
      <c r="C71" s="90"/>
      <c r="D71" s="90" t="s">
        <v>115</v>
      </c>
      <c r="H71" s="108" t="b" cm="1">
        <f t="array" ref="H71">IF(
   COUNTA('Banking Txn'!D2:D1048576)=0,
   COUNTA('Banking Accts'!A2:A1048576)=0,
   SUMPRODUCT(
      --(ISNUMBER(MATCH('Banking Txn'!D2:D1048576, 'Banking Accts'!A2:A1048576, 0))),
      --('Banking Txn'!D2:D1048576&lt;&gt;"")
   )=COUNTA('Banking Txn'!D2:D1048576)
)</f>
        <v>1</v>
      </c>
      <c r="I71" s="27"/>
      <c r="J71" s="73"/>
      <c r="K71" s="87"/>
    </row>
    <row r="72" spans="1:12" ht="10" customHeight="1" x14ac:dyDescent="0.2">
      <c r="A72" s="86"/>
      <c r="B72" s="87"/>
      <c r="C72" s="44"/>
      <c r="D72" s="44"/>
      <c r="H72" s="25"/>
      <c r="I72" s="25"/>
      <c r="J72" s="73"/>
      <c r="K72" s="87"/>
    </row>
    <row r="73" spans="1:12" ht="20" customHeight="1" x14ac:dyDescent="0.2">
      <c r="A73" s="86"/>
      <c r="B73" s="87"/>
      <c r="C73" s="24"/>
      <c r="D73" s="24" t="s">
        <v>116</v>
      </c>
      <c r="E73" s="30"/>
      <c r="F73" s="47"/>
      <c r="G73" s="30"/>
      <c r="H73" s="108" t="b" cm="1">
        <f t="array" ref="H73">AND(IF('Banking Txn'!A2:A1048576&lt;&gt;"",'Banking Txn'!B2:B1048576&lt;&gt;"",TRUE))</f>
        <v>1</v>
      </c>
      <c r="I73" s="27"/>
      <c r="J73" s="73"/>
      <c r="K73" s="87"/>
    </row>
    <row r="74" spans="1:12" ht="15" customHeight="1" x14ac:dyDescent="0.2">
      <c r="A74" s="86"/>
      <c r="B74" s="87"/>
      <c r="C74" s="75"/>
      <c r="D74" s="76"/>
      <c r="E74" s="76"/>
      <c r="F74" s="77"/>
      <c r="G74" s="76"/>
      <c r="H74" s="78"/>
      <c r="I74" s="78"/>
      <c r="J74" s="79"/>
      <c r="K74" s="162"/>
    </row>
    <row r="75" spans="1:12" ht="10" customHeight="1" x14ac:dyDescent="0.2">
      <c r="A75" s="170"/>
      <c r="B75" s="165"/>
      <c r="C75" s="169"/>
      <c r="D75" s="169"/>
      <c r="E75" s="171"/>
      <c r="F75" s="164"/>
      <c r="G75" s="165"/>
      <c r="H75" s="166"/>
      <c r="I75" s="166"/>
      <c r="J75" s="167"/>
      <c r="K75" s="168"/>
      <c r="L75" s="163"/>
    </row>
    <row r="76" spans="1:12" ht="16" customHeight="1" x14ac:dyDescent="0.2">
      <c r="C76" s="89"/>
      <c r="D76" s="89"/>
    </row>
    <row r="77" spans="1:12" ht="16" customHeight="1" x14ac:dyDescent="0.2">
      <c r="C77" s="44"/>
    </row>
    <row r="78" spans="1:12" ht="16" customHeight="1" x14ac:dyDescent="0.2"/>
  </sheetData>
  <mergeCells count="8">
    <mergeCell ref="D38:F38"/>
    <mergeCell ref="D14:F14"/>
    <mergeCell ref="D9:D10"/>
    <mergeCell ref="D4:D7"/>
    <mergeCell ref="D33:F33"/>
    <mergeCell ref="D35:F35"/>
    <mergeCell ref="D36:F36"/>
    <mergeCell ref="D27:H27"/>
  </mergeCells>
  <conditionalFormatting sqref="H33">
    <cfRule type="containsText" dxfId="35" priority="5" operator="containsText" text="YES">
      <formula>NOT(ISERROR(SEARCH("YES",H33)))</formula>
    </cfRule>
  </conditionalFormatting>
  <conditionalFormatting sqref="H35">
    <cfRule type="containsText" dxfId="34" priority="4" operator="containsText" text="N/A">
      <formula>NOT(ISERROR(SEARCH("N/A",H35)))</formula>
    </cfRule>
  </conditionalFormatting>
  <conditionalFormatting sqref="H38">
    <cfRule type="containsText" dxfId="33" priority="1" operator="containsText" text="N/A">
      <formula>NOT(ISERROR(SEARCH("N/A",H38)))</formula>
    </cfRule>
  </conditionalFormatting>
  <conditionalFormatting sqref="H16:I16">
    <cfRule type="containsText" dxfId="32" priority="48" operator="containsText" text="FALSE">
      <formula>NOT(ISERROR(SEARCH("FALSE",H16)))</formula>
    </cfRule>
    <cfRule type="containsText" dxfId="31" priority="47" stopIfTrue="1" operator="containsText" text="TRUE">
      <formula>NOT(ISERROR(SEARCH("TRUE",H16)))</formula>
    </cfRule>
  </conditionalFormatting>
  <conditionalFormatting sqref="H18:I18">
    <cfRule type="containsText" dxfId="30" priority="40" operator="containsText" text="FALSE">
      <formula>NOT(ISERROR(SEARCH("FALSE",H18)))</formula>
    </cfRule>
    <cfRule type="containsText" dxfId="29" priority="39" stopIfTrue="1" operator="containsText" text="TRUE">
      <formula>NOT(ISERROR(SEARCH("TRUE",H18)))</formula>
    </cfRule>
  </conditionalFormatting>
  <conditionalFormatting sqref="H20:I20">
    <cfRule type="containsText" dxfId="28" priority="38" operator="containsText" text="FALSE">
      <formula>NOT(ISERROR(SEARCH("FALSE",H20)))</formula>
    </cfRule>
    <cfRule type="containsText" dxfId="27" priority="37" stopIfTrue="1" operator="containsText" text="TRUE">
      <formula>NOT(ISERROR(SEARCH("TRUE",H20)))</formula>
    </cfRule>
  </conditionalFormatting>
  <conditionalFormatting sqref="H22:I26 I27 H28:I28 H30:I30 H32:I38 H43:J51">
    <cfRule type="containsText" dxfId="26" priority="8" operator="containsText" text="FALSE">
      <formula>NOT(ISERROR(SEARCH("FALSE",H22)))</formula>
    </cfRule>
  </conditionalFormatting>
  <conditionalFormatting sqref="H32:I38 H22:I26 I27 H28:I28 H30:I30 H43:J48">
    <cfRule type="containsText" dxfId="25" priority="7" stopIfTrue="1" operator="containsText" text="TRUE">
      <formula>NOT(ISERROR(SEARCH("TRUE",H22)))</formula>
    </cfRule>
  </conditionalFormatting>
  <conditionalFormatting sqref="H49:I49">
    <cfRule type="containsText" dxfId="24" priority="66" stopIfTrue="1" operator="containsText" text="TRUE">
      <formula>NOT(ISERROR(SEARCH("TRUE",H49)))</formula>
    </cfRule>
  </conditionalFormatting>
  <conditionalFormatting sqref="H51:I51">
    <cfRule type="containsText" dxfId="23" priority="34" stopIfTrue="1" operator="containsText" text="TRUE">
      <formula>NOT(ISERROR(SEARCH("TRUE",H51)))</formula>
    </cfRule>
    <cfRule type="containsText" dxfId="22" priority="65" stopIfTrue="1" operator="containsText" text="PASSED">
      <formula>NOT(ISERROR(SEARCH("PASSED",H51)))</formula>
    </cfRule>
  </conditionalFormatting>
  <conditionalFormatting sqref="H55:I55">
    <cfRule type="cellIs" dxfId="21" priority="50" operator="equal">
      <formula>"NO"</formula>
    </cfRule>
  </conditionalFormatting>
  <conditionalFormatting sqref="H56:I56">
    <cfRule type="containsText" dxfId="20" priority="74" operator="containsText" text="FAILED">
      <formula>NOT(ISERROR(SEARCH("FAILED",H56)))</formula>
    </cfRule>
    <cfRule type="containsText" dxfId="19" priority="73" operator="containsText" text="PASSED">
      <formula>NOT(ISERROR(SEARCH("PASSED",H56)))</formula>
    </cfRule>
  </conditionalFormatting>
  <conditionalFormatting sqref="H57:I57">
    <cfRule type="cellIs" dxfId="18" priority="49" operator="equal">
      <formula>"NO"</formula>
    </cfRule>
  </conditionalFormatting>
  <conditionalFormatting sqref="H59:I59">
    <cfRule type="containsText" dxfId="17" priority="32" stopIfTrue="1" operator="containsText" text="TRUE">
      <formula>NOT(ISERROR(SEARCH("TRUE",H59)))</formula>
    </cfRule>
    <cfRule type="containsText" dxfId="16" priority="33" operator="containsText" text="FALSE">
      <formula>NOT(ISERROR(SEARCH("FALSE",H59)))</formula>
    </cfRule>
  </conditionalFormatting>
  <conditionalFormatting sqref="H61:I61">
    <cfRule type="containsText" dxfId="15" priority="31" operator="containsText" text="FALSE">
      <formula>NOT(ISERROR(SEARCH("FALSE",H61)))</formula>
    </cfRule>
    <cfRule type="containsText" dxfId="14" priority="30" stopIfTrue="1" operator="containsText" text="TRUE">
      <formula>NOT(ISERROR(SEARCH("TRUE",H61)))</formula>
    </cfRule>
  </conditionalFormatting>
  <conditionalFormatting sqref="H63:I63">
    <cfRule type="containsText" dxfId="13" priority="25" operator="containsText" text="FALSE">
      <formula>NOT(ISERROR(SEARCH("FALSE",H63)))</formula>
    </cfRule>
    <cfRule type="containsText" dxfId="12" priority="24" stopIfTrue="1" operator="containsText" text="TRUE">
      <formula>NOT(ISERROR(SEARCH("TRUE",H63)))</formula>
    </cfRule>
  </conditionalFormatting>
  <conditionalFormatting sqref="H65:I65">
    <cfRule type="containsText" dxfId="11" priority="23" operator="containsText" text="FALSE">
      <formula>NOT(ISERROR(SEARCH("FALSE",H65)))</formula>
    </cfRule>
    <cfRule type="containsText" dxfId="10" priority="22" stopIfTrue="1" operator="containsText" text="TRUE">
      <formula>NOT(ISERROR(SEARCH("TRUE",H65)))</formula>
    </cfRule>
  </conditionalFormatting>
  <conditionalFormatting sqref="H67:I67">
    <cfRule type="containsText" dxfId="9" priority="21" operator="containsText" text="FALSE">
      <formula>NOT(ISERROR(SEARCH("FALSE",H67)))</formula>
    </cfRule>
    <cfRule type="containsText" dxfId="8" priority="20" stopIfTrue="1" operator="containsText" text="TRUE">
      <formula>NOT(ISERROR(SEARCH("TRUE",H67)))</formula>
    </cfRule>
  </conditionalFormatting>
  <conditionalFormatting sqref="H71:I71">
    <cfRule type="containsText" dxfId="7" priority="19" operator="containsText" text="FALSE">
      <formula>NOT(ISERROR(SEARCH("FALSE",H71)))</formula>
    </cfRule>
    <cfRule type="containsText" dxfId="6" priority="18" stopIfTrue="1" operator="containsText" text="TRUE">
      <formula>NOT(ISERROR(SEARCH("TRUE",H71)))</formula>
    </cfRule>
  </conditionalFormatting>
  <conditionalFormatting sqref="H73:I73">
    <cfRule type="containsText" dxfId="5" priority="17" operator="containsText" text="FALSE">
      <formula>NOT(ISERROR(SEARCH("FALSE",H73)))</formula>
    </cfRule>
    <cfRule type="containsText" dxfId="4" priority="16" stopIfTrue="1" operator="containsText" text="TRUE">
      <formula>NOT(ISERROR(SEARCH("TRUE",H73)))</formula>
    </cfRule>
  </conditionalFormatting>
  <conditionalFormatting sqref="H75:I75">
    <cfRule type="containsText" dxfId="3" priority="77" operator="containsText" text="FAILED">
      <formula>NOT(ISERROR(SEARCH("FAILED",H75)))</formula>
    </cfRule>
    <cfRule type="containsText" dxfId="2" priority="84" operator="containsText" text="PASSED">
      <formula>NOT(ISERROR(SEARCH("PASSED",H75)))</formula>
    </cfRule>
  </conditionalFormatting>
  <conditionalFormatting sqref="H49:J51">
    <cfRule type="containsText" dxfId="1" priority="91" operator="containsText" text="PASSED">
      <formula>NOT(ISERROR(SEARCH("PASSED",H49)))</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ltText="">
                <anchor moveWithCells="1">
                  <from>
                    <xdr:col>5</xdr:col>
                    <xdr:colOff>990600</xdr:colOff>
                    <xdr:row>14</xdr:row>
                    <xdr:rowOff>177800</xdr:rowOff>
                  </from>
                  <to>
                    <xdr:col>6</xdr:col>
                    <xdr:colOff>0</xdr:colOff>
                    <xdr:row>16</xdr:row>
                    <xdr:rowOff>76200</xdr:rowOff>
                  </to>
                </anchor>
              </controlPr>
            </control>
          </mc:Choice>
        </mc:AlternateContent>
        <mc:AlternateContent xmlns:mc="http://schemas.openxmlformats.org/markup-compatibility/2006">
          <mc:Choice Requires="x14">
            <control shapeId="2050" r:id="rId4" name="Check Box 2">
              <controlPr defaultSize="0" autoFill="0" autoLine="0" autoPict="0" altText="">
                <anchor moveWithCells="1">
                  <from>
                    <xdr:col>5</xdr:col>
                    <xdr:colOff>990600</xdr:colOff>
                    <xdr:row>16</xdr:row>
                    <xdr:rowOff>114300</xdr:rowOff>
                  </from>
                  <to>
                    <xdr:col>6</xdr:col>
                    <xdr:colOff>0</xdr:colOff>
                    <xdr:row>18</xdr:row>
                    <xdr:rowOff>38100</xdr:rowOff>
                  </to>
                </anchor>
              </controlPr>
            </control>
          </mc:Choice>
        </mc:AlternateContent>
        <mc:AlternateContent xmlns:mc="http://schemas.openxmlformats.org/markup-compatibility/2006">
          <mc:Choice Requires="x14">
            <control shapeId="2051" r:id="rId5" name="Check Box 3">
              <controlPr defaultSize="0" autoFill="0" autoLine="0" autoPict="0" altText="">
                <anchor moveWithCells="1">
                  <from>
                    <xdr:col>5</xdr:col>
                    <xdr:colOff>990600</xdr:colOff>
                    <xdr:row>18</xdr:row>
                    <xdr:rowOff>114300</xdr:rowOff>
                  </from>
                  <to>
                    <xdr:col>6</xdr:col>
                    <xdr:colOff>0</xdr:colOff>
                    <xdr:row>20</xdr:row>
                    <xdr:rowOff>0</xdr:rowOff>
                  </to>
                </anchor>
              </controlPr>
            </control>
          </mc:Choice>
        </mc:AlternateContent>
        <mc:AlternateContent xmlns:mc="http://schemas.openxmlformats.org/markup-compatibility/2006">
          <mc:Choice Requires="x14">
            <control shapeId="2052" r:id="rId6" name="Check Box 4">
              <controlPr defaultSize="0" autoFill="0" autoLine="0" autoPict="0" altText="">
                <anchor moveWithCells="1">
                  <from>
                    <xdr:col>5</xdr:col>
                    <xdr:colOff>990600</xdr:colOff>
                    <xdr:row>20</xdr:row>
                    <xdr:rowOff>114300</xdr:rowOff>
                  </from>
                  <to>
                    <xdr:col>6</xdr:col>
                    <xdr:colOff>0</xdr:colOff>
                    <xdr:row>22</xdr:row>
                    <xdr:rowOff>0</xdr:rowOff>
                  </to>
                </anchor>
              </controlPr>
            </control>
          </mc:Choice>
        </mc:AlternateContent>
        <mc:AlternateContent xmlns:mc="http://schemas.openxmlformats.org/markup-compatibility/2006">
          <mc:Choice Requires="x14">
            <control shapeId="2053" r:id="rId7" name="Check Box 5">
              <controlPr defaultSize="0" autoFill="0" autoLine="0" autoPict="0" altText="">
                <anchor moveWithCells="1">
                  <from>
                    <xdr:col>5</xdr:col>
                    <xdr:colOff>990600</xdr:colOff>
                    <xdr:row>22</xdr:row>
                    <xdr:rowOff>114300</xdr:rowOff>
                  </from>
                  <to>
                    <xdr:col>6</xdr:col>
                    <xdr:colOff>0</xdr:colOff>
                    <xdr:row>24</xdr:row>
                    <xdr:rowOff>0</xdr:rowOff>
                  </to>
                </anchor>
              </controlPr>
            </control>
          </mc:Choice>
        </mc:AlternateContent>
        <mc:AlternateContent xmlns:mc="http://schemas.openxmlformats.org/markup-compatibility/2006">
          <mc:Choice Requires="x14">
            <control shapeId="2064" r:id="rId8" name="Check Box 16">
              <controlPr defaultSize="0" autoFill="0" autoLine="0" autoPict="0" altText="">
                <anchor moveWithCells="1">
                  <from>
                    <xdr:col>5</xdr:col>
                    <xdr:colOff>990600</xdr:colOff>
                    <xdr:row>33</xdr:row>
                    <xdr:rowOff>241300</xdr:rowOff>
                  </from>
                  <to>
                    <xdr:col>6</xdr:col>
                    <xdr:colOff>0</xdr:colOff>
                    <xdr:row>35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B2B6-3AD2-514F-8E42-76FA11C44BDD}">
  <sheetPr>
    <tabColor rgb="FF002060"/>
  </sheetPr>
  <dimension ref="A1:G18"/>
  <sheetViews>
    <sheetView showGridLines="0" workbookViewId="0">
      <selection activeCell="D4" sqref="D4:E9"/>
    </sheetView>
  </sheetViews>
  <sheetFormatPr baseColWidth="10" defaultRowHeight="16" x14ac:dyDescent="0.2"/>
  <cols>
    <col min="1" max="1" width="22.6640625" style="196" customWidth="1"/>
    <col min="2" max="2" width="3.33203125" style="196" customWidth="1"/>
    <col min="3" max="3" width="2.5" style="196" customWidth="1"/>
    <col min="4" max="4" width="13.6640625" style="196" customWidth="1"/>
    <col min="5" max="5" width="76" style="196" customWidth="1"/>
    <col min="6" max="6" width="2.5" style="196" customWidth="1"/>
    <col min="7" max="7" width="3.33203125" style="196" customWidth="1"/>
    <col min="8" max="16384" width="10.83203125" style="196"/>
  </cols>
  <sheetData>
    <row r="1" spans="1:7" ht="46" customHeight="1" x14ac:dyDescent="0.25">
      <c r="A1" s="191"/>
      <c r="B1" s="192"/>
      <c r="C1" s="193" t="s">
        <v>137</v>
      </c>
      <c r="D1" s="194"/>
      <c r="E1" s="194"/>
      <c r="F1" s="194"/>
      <c r="G1" s="195"/>
    </row>
    <row r="2" spans="1:7" ht="10" customHeight="1" x14ac:dyDescent="0.25">
      <c r="A2" s="197"/>
      <c r="B2" s="198"/>
      <c r="C2" s="199"/>
      <c r="D2" s="200"/>
      <c r="E2" s="200"/>
      <c r="F2" s="200"/>
      <c r="G2" s="201"/>
    </row>
    <row r="3" spans="1:7" ht="45" customHeight="1" thickBot="1" x14ac:dyDescent="0.3">
      <c r="A3" s="197"/>
      <c r="B3" s="202"/>
      <c r="C3" s="203"/>
      <c r="D3" s="278" t="s">
        <v>138</v>
      </c>
      <c r="E3" s="278"/>
      <c r="F3" s="204"/>
      <c r="G3" s="201"/>
    </row>
    <row r="4" spans="1:7" ht="15" customHeight="1" x14ac:dyDescent="0.2">
      <c r="A4" s="205" t="s">
        <v>137</v>
      </c>
      <c r="B4" s="202"/>
      <c r="C4" s="206"/>
      <c r="D4" s="279"/>
      <c r="E4" s="280"/>
      <c r="F4" s="207"/>
      <c r="G4" s="201"/>
    </row>
    <row r="5" spans="1:7" ht="15" customHeight="1" x14ac:dyDescent="0.2">
      <c r="A5" s="205"/>
      <c r="B5" s="202"/>
      <c r="C5" s="206"/>
      <c r="D5" s="281"/>
      <c r="E5" s="282"/>
      <c r="F5" s="207"/>
      <c r="G5" s="201"/>
    </row>
    <row r="6" spans="1:7" ht="25" x14ac:dyDescent="0.2">
      <c r="A6" s="197"/>
      <c r="B6" s="202"/>
      <c r="C6" s="208"/>
      <c r="D6" s="281"/>
      <c r="E6" s="282"/>
      <c r="F6" s="207"/>
      <c r="G6" s="201"/>
    </row>
    <row r="7" spans="1:7" ht="25" x14ac:dyDescent="0.2">
      <c r="A7" s="197"/>
      <c r="B7" s="202"/>
      <c r="C7" s="208"/>
      <c r="D7" s="281"/>
      <c r="E7" s="282"/>
      <c r="F7" s="207"/>
      <c r="G7" s="201"/>
    </row>
    <row r="8" spans="1:7" ht="25" x14ac:dyDescent="0.2">
      <c r="A8" s="197"/>
      <c r="B8" s="202"/>
      <c r="C8" s="208"/>
      <c r="D8" s="281"/>
      <c r="E8" s="282"/>
      <c r="F8" s="207"/>
      <c r="G8" s="201"/>
    </row>
    <row r="9" spans="1:7" ht="26" thickBot="1" x14ac:dyDescent="0.25">
      <c r="A9" s="197"/>
      <c r="B9" s="202"/>
      <c r="C9" s="208"/>
      <c r="D9" s="283"/>
      <c r="E9" s="284"/>
      <c r="F9" s="207"/>
      <c r="G9" s="201"/>
    </row>
    <row r="10" spans="1:7" ht="10" customHeight="1" x14ac:dyDescent="0.2">
      <c r="A10" s="197"/>
      <c r="B10" s="202"/>
      <c r="C10" s="209"/>
      <c r="D10" s="210"/>
      <c r="E10" s="210"/>
      <c r="F10" s="207"/>
      <c r="G10" s="201"/>
    </row>
    <row r="11" spans="1:7" ht="20" customHeight="1" x14ac:dyDescent="0.2">
      <c r="A11" s="197"/>
      <c r="B11" s="202"/>
      <c r="C11" s="209"/>
      <c r="D11" s="211" t="s">
        <v>139</v>
      </c>
      <c r="E11" s="211"/>
      <c r="F11" s="207"/>
      <c r="G11" s="201"/>
    </row>
    <row r="12" spans="1:7" ht="20" customHeight="1" thickBot="1" x14ac:dyDescent="0.25">
      <c r="A12" s="197"/>
      <c r="B12" s="202"/>
      <c r="C12" s="212"/>
      <c r="D12" s="213" t="s">
        <v>140</v>
      </c>
      <c r="E12" s="214"/>
      <c r="F12" s="215"/>
      <c r="G12" s="201"/>
    </row>
    <row r="13" spans="1:7" ht="20" customHeight="1" thickBot="1" x14ac:dyDescent="0.25">
      <c r="A13" s="197"/>
      <c r="B13" s="202"/>
      <c r="C13" s="209"/>
      <c r="D13" s="216" t="s">
        <v>141</v>
      </c>
      <c r="E13" s="217"/>
      <c r="F13" s="207"/>
      <c r="G13" s="201"/>
    </row>
    <row r="14" spans="1:7" ht="10" customHeight="1" x14ac:dyDescent="0.2">
      <c r="A14" s="197"/>
      <c r="B14" s="202"/>
      <c r="C14" s="209"/>
      <c r="D14" s="218"/>
      <c r="E14" s="218"/>
      <c r="F14" s="207"/>
      <c r="G14" s="201"/>
    </row>
    <row r="15" spans="1:7" ht="21" customHeight="1" thickBot="1" x14ac:dyDescent="0.25">
      <c r="A15" s="197"/>
      <c r="B15" s="202"/>
      <c r="C15" s="209"/>
      <c r="D15" s="213" t="s">
        <v>142</v>
      </c>
      <c r="E15" s="219"/>
      <c r="F15" s="207"/>
      <c r="G15" s="201"/>
    </row>
    <row r="16" spans="1:7" ht="20" customHeight="1" thickBot="1" x14ac:dyDescent="0.25">
      <c r="A16" s="197"/>
      <c r="B16" s="202"/>
      <c r="C16" s="209"/>
      <c r="D16" s="216" t="s">
        <v>141</v>
      </c>
      <c r="E16" s="220"/>
      <c r="F16" s="207"/>
      <c r="G16" s="201"/>
    </row>
    <row r="17" spans="1:7" ht="10" customHeight="1" x14ac:dyDescent="0.2">
      <c r="A17" s="197"/>
      <c r="B17" s="202"/>
      <c r="C17" s="221"/>
      <c r="D17" s="222"/>
      <c r="E17" s="222"/>
      <c r="F17" s="207"/>
      <c r="G17" s="201"/>
    </row>
    <row r="18" spans="1:7" ht="16" customHeight="1" x14ac:dyDescent="0.2">
      <c r="A18" s="223"/>
      <c r="B18" s="224"/>
      <c r="C18" s="224"/>
      <c r="D18" s="224"/>
      <c r="E18" s="224"/>
      <c r="F18" s="225"/>
      <c r="G18" s="226"/>
    </row>
  </sheetData>
  <mergeCells count="2">
    <mergeCell ref="D3:E3"/>
    <mergeCell ref="D4:E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812"/>
  <sheetViews>
    <sheetView workbookViewId="0"/>
  </sheetViews>
  <sheetFormatPr baseColWidth="10" defaultColWidth="12.6640625" defaultRowHeight="15.75" customHeight="1" x14ac:dyDescent="0.15"/>
  <cols>
    <col min="1" max="1" width="24.6640625" customWidth="1"/>
    <col min="2" max="2" width="49" customWidth="1"/>
    <col min="3" max="4" width="25.6640625" style="31" customWidth="1"/>
    <col min="5" max="5" width="49" customWidth="1"/>
    <col min="6" max="6" width="50.33203125" customWidth="1"/>
    <col min="7" max="7" width="27" customWidth="1"/>
  </cols>
  <sheetData>
    <row r="1" spans="1:8" s="135" customFormat="1" ht="17" customHeight="1" x14ac:dyDescent="0.15">
      <c r="A1" s="131" t="s">
        <v>35</v>
      </c>
      <c r="B1" s="131" t="s">
        <v>35</v>
      </c>
      <c r="C1" s="131" t="s">
        <v>35</v>
      </c>
      <c r="D1" s="131" t="s">
        <v>35</v>
      </c>
      <c r="E1" s="131" t="s">
        <v>35</v>
      </c>
      <c r="F1" s="132" t="s">
        <v>36</v>
      </c>
      <c r="G1" s="132" t="s">
        <v>36</v>
      </c>
      <c r="H1" s="134"/>
    </row>
    <row r="2" spans="1:8" s="135" customFormat="1" ht="33" customHeight="1" x14ac:dyDescent="0.15">
      <c r="A2" s="133" t="s">
        <v>15</v>
      </c>
      <c r="B2" s="133" t="s">
        <v>16</v>
      </c>
      <c r="C2" s="158" t="s">
        <v>129</v>
      </c>
      <c r="D2" s="133" t="s">
        <v>118</v>
      </c>
      <c r="E2" s="133" t="s">
        <v>32</v>
      </c>
      <c r="F2" s="133" t="s">
        <v>33</v>
      </c>
      <c r="G2" s="133" t="s">
        <v>34</v>
      </c>
    </row>
    <row r="3" spans="1:8" ht="15.75" customHeight="1" x14ac:dyDescent="0.15">
      <c r="A3" s="23"/>
      <c r="B3" s="23"/>
      <c r="C3" s="129"/>
      <c r="D3" s="129"/>
      <c r="E3" s="23"/>
      <c r="F3" s="23"/>
      <c r="G3" s="23"/>
    </row>
    <row r="4" spans="1:8" ht="15.75" customHeight="1" x14ac:dyDescent="0.15">
      <c r="A4" s="23"/>
      <c r="B4" s="23"/>
      <c r="C4" s="129"/>
      <c r="D4" s="129"/>
      <c r="E4" s="23"/>
      <c r="F4" s="23"/>
      <c r="G4" s="130"/>
    </row>
    <row r="5" spans="1:8" ht="15.75" customHeight="1" x14ac:dyDescent="0.2">
      <c r="A5" s="23"/>
      <c r="B5" s="23"/>
      <c r="C5" s="129"/>
      <c r="D5" s="129"/>
      <c r="E5" s="23"/>
      <c r="F5" s="119"/>
      <c r="G5" s="130"/>
    </row>
    <row r="6" spans="1:8" ht="15.75" customHeight="1" x14ac:dyDescent="0.15">
      <c r="A6" s="20"/>
      <c r="B6" s="20"/>
      <c r="C6" s="51"/>
      <c r="D6" s="51"/>
      <c r="E6" s="20"/>
      <c r="F6" s="20"/>
    </row>
    <row r="7" spans="1:8" ht="15.75" customHeight="1" x14ac:dyDescent="0.15">
      <c r="A7" s="20"/>
      <c r="B7" s="20"/>
      <c r="C7" s="51"/>
      <c r="D7" s="51"/>
      <c r="E7" s="20"/>
      <c r="F7" s="20"/>
    </row>
    <row r="8" spans="1:8" ht="15.75" customHeight="1" x14ac:dyDescent="0.15">
      <c r="A8" s="20"/>
      <c r="B8" s="20"/>
      <c r="C8" s="51"/>
      <c r="D8" s="51"/>
      <c r="E8" s="20"/>
      <c r="F8" s="20"/>
    </row>
    <row r="9" spans="1:8" ht="15.75" customHeight="1" x14ac:dyDescent="0.15">
      <c r="A9" s="20"/>
      <c r="B9" s="20"/>
      <c r="C9" s="51"/>
      <c r="D9" s="51"/>
      <c r="E9" s="20"/>
      <c r="F9" s="20"/>
    </row>
    <row r="10" spans="1:8" ht="15.75" customHeight="1" x14ac:dyDescent="0.15">
      <c r="A10" s="20"/>
      <c r="B10" s="20"/>
      <c r="C10" s="51"/>
      <c r="D10" s="51"/>
      <c r="E10" s="20"/>
      <c r="F10" s="20"/>
    </row>
    <row r="11" spans="1:8" ht="15.75" customHeight="1" x14ac:dyDescent="0.15">
      <c r="A11" s="20"/>
      <c r="B11" s="20"/>
      <c r="C11" s="51"/>
      <c r="D11" s="51"/>
      <c r="E11" s="20"/>
      <c r="F11" s="20"/>
    </row>
    <row r="12" spans="1:8" ht="15.75" customHeight="1" x14ac:dyDescent="0.15">
      <c r="A12" s="20"/>
      <c r="B12" s="20"/>
      <c r="C12" s="51"/>
      <c r="D12" s="51"/>
      <c r="E12" s="20"/>
      <c r="F12" s="20"/>
    </row>
    <row r="13" spans="1:8" ht="15.75" customHeight="1" x14ac:dyDescent="0.15">
      <c r="A13" s="20"/>
      <c r="B13" s="20"/>
      <c r="C13" s="51"/>
      <c r="D13" s="51"/>
      <c r="E13" s="20"/>
      <c r="F13" s="20"/>
    </row>
    <row r="14" spans="1:8" ht="15.75" customHeight="1" x14ac:dyDescent="0.15">
      <c r="A14" s="20"/>
      <c r="B14" s="20"/>
      <c r="C14" s="51"/>
      <c r="D14" s="51"/>
      <c r="E14" s="20"/>
      <c r="F14" s="20"/>
    </row>
    <row r="15" spans="1:8" ht="15.75" customHeight="1" x14ac:dyDescent="0.15">
      <c r="A15" s="20"/>
      <c r="B15" s="20"/>
      <c r="C15" s="51"/>
      <c r="D15" s="51"/>
      <c r="E15" s="20"/>
      <c r="F15" s="20"/>
    </row>
    <row r="16" spans="1:8" ht="15.75" customHeight="1" x14ac:dyDescent="0.15">
      <c r="A16" s="20"/>
      <c r="B16" s="20"/>
      <c r="C16" s="51"/>
      <c r="D16" s="51"/>
      <c r="E16" s="20"/>
      <c r="F16" s="20"/>
    </row>
    <row r="17" spans="1:6" ht="15.75" customHeight="1" x14ac:dyDescent="0.15">
      <c r="A17" s="20"/>
      <c r="B17" s="20"/>
      <c r="C17" s="51"/>
      <c r="D17" s="51"/>
      <c r="E17" s="20"/>
      <c r="F17" s="20"/>
    </row>
    <row r="18" spans="1:6" ht="15.75" customHeight="1" x14ac:dyDescent="0.15">
      <c r="A18" s="20"/>
      <c r="B18" s="20"/>
      <c r="C18" s="51"/>
      <c r="D18" s="51"/>
      <c r="E18" s="20"/>
      <c r="F18" s="20"/>
    </row>
    <row r="19" spans="1:6" ht="15.75" customHeight="1" x14ac:dyDescent="0.15">
      <c r="A19" s="20"/>
      <c r="B19" s="20"/>
      <c r="C19" s="51"/>
      <c r="D19" s="51"/>
      <c r="E19" s="20"/>
      <c r="F19" s="20"/>
    </row>
    <row r="20" spans="1:6" ht="15.75" customHeight="1" x14ac:dyDescent="0.15">
      <c r="A20" s="20"/>
      <c r="B20" s="20"/>
      <c r="C20" s="51"/>
      <c r="D20" s="51"/>
      <c r="E20" s="20"/>
      <c r="F20" s="20"/>
    </row>
    <row r="21" spans="1:6" ht="15.75" customHeight="1" x14ac:dyDescent="0.15">
      <c r="A21" s="20"/>
      <c r="B21" s="20"/>
      <c r="C21" s="51"/>
      <c r="D21" s="51"/>
      <c r="E21" s="20"/>
      <c r="F21" s="20"/>
    </row>
    <row r="22" spans="1:6" ht="15.75" customHeight="1" x14ac:dyDescent="0.15">
      <c r="A22" s="20"/>
      <c r="B22" s="20"/>
      <c r="C22" s="51"/>
      <c r="D22" s="51"/>
      <c r="E22" s="20"/>
      <c r="F22" s="20"/>
    </row>
    <row r="23" spans="1:6" ht="15.75" customHeight="1" x14ac:dyDescent="0.15">
      <c r="A23" s="20"/>
      <c r="B23" s="20"/>
      <c r="C23" s="51"/>
      <c r="D23" s="51"/>
      <c r="E23" s="20"/>
      <c r="F23" s="20"/>
    </row>
    <row r="24" spans="1:6" ht="15.75" customHeight="1" x14ac:dyDescent="0.15">
      <c r="A24" s="20"/>
      <c r="B24" s="20"/>
      <c r="C24" s="51"/>
      <c r="D24" s="51"/>
      <c r="E24" s="20"/>
      <c r="F24" s="20"/>
    </row>
    <row r="25" spans="1:6" ht="15.75" customHeight="1" x14ac:dyDescent="0.15">
      <c r="A25" s="20"/>
      <c r="B25" s="20"/>
      <c r="C25" s="51"/>
      <c r="D25" s="51"/>
      <c r="E25" s="20"/>
      <c r="F25" s="20"/>
    </row>
    <row r="26" spans="1:6" ht="15.75" customHeight="1" x14ac:dyDescent="0.15">
      <c r="A26" s="20"/>
      <c r="B26" s="20"/>
      <c r="C26" s="51"/>
      <c r="D26" s="51"/>
      <c r="E26" s="20"/>
      <c r="F26" s="20"/>
    </row>
    <row r="27" spans="1:6" ht="15.75" customHeight="1" x14ac:dyDescent="0.15">
      <c r="A27" s="20"/>
      <c r="B27" s="20"/>
      <c r="C27" s="51"/>
      <c r="D27" s="51"/>
      <c r="E27" s="20"/>
      <c r="F27" s="20"/>
    </row>
    <row r="28" spans="1:6" ht="15.75" customHeight="1" x14ac:dyDescent="0.15">
      <c r="A28" s="20"/>
      <c r="B28" s="20"/>
      <c r="C28" s="51"/>
      <c r="D28" s="51"/>
      <c r="E28" s="20"/>
      <c r="F28" s="20"/>
    </row>
    <row r="29" spans="1:6" ht="15.75" customHeight="1" x14ac:dyDescent="0.15">
      <c r="A29" s="20"/>
      <c r="B29" s="20"/>
      <c r="C29" s="51"/>
      <c r="D29" s="51"/>
      <c r="E29" s="20"/>
      <c r="F29" s="20"/>
    </row>
    <row r="30" spans="1:6" ht="15.75" customHeight="1" x14ac:dyDescent="0.15">
      <c r="A30" s="20"/>
      <c r="B30" s="20"/>
      <c r="C30" s="51"/>
      <c r="D30" s="51"/>
      <c r="E30" s="20"/>
      <c r="F30" s="20"/>
    </row>
    <row r="31" spans="1:6" ht="15.75" customHeight="1" x14ac:dyDescent="0.15">
      <c r="A31" s="20"/>
      <c r="B31" s="20"/>
      <c r="C31" s="51"/>
      <c r="D31" s="51"/>
      <c r="E31" s="20"/>
      <c r="F31" s="20"/>
    </row>
    <row r="32" spans="1:6" ht="15.75" customHeight="1" x14ac:dyDescent="0.15">
      <c r="B32" s="20"/>
      <c r="E32" s="20"/>
      <c r="F32" s="20"/>
    </row>
    <row r="33" spans="2:6" ht="15.75" customHeight="1" x14ac:dyDescent="0.15">
      <c r="B33" s="20"/>
      <c r="E33" s="20"/>
      <c r="F33" s="20"/>
    </row>
    <row r="34" spans="2:6" ht="15.75" customHeight="1" x14ac:dyDescent="0.15">
      <c r="B34" s="20"/>
      <c r="E34" s="20"/>
      <c r="F34" s="20"/>
    </row>
    <row r="35" spans="2:6" ht="15.75" customHeight="1" x14ac:dyDescent="0.15">
      <c r="B35" s="20"/>
      <c r="E35" s="20"/>
      <c r="F35" s="32"/>
    </row>
    <row r="36" spans="2:6" ht="15.75" customHeight="1" x14ac:dyDescent="0.15">
      <c r="B36" s="20"/>
      <c r="E36" s="20"/>
      <c r="F36" s="32"/>
    </row>
    <row r="37" spans="2:6" ht="15.75" customHeight="1" x14ac:dyDescent="0.15">
      <c r="B37" s="20"/>
      <c r="E37" s="20"/>
      <c r="F37" s="32"/>
    </row>
    <row r="38" spans="2:6" ht="15.75" customHeight="1" x14ac:dyDescent="0.15">
      <c r="B38" s="20"/>
      <c r="E38" s="20"/>
      <c r="F38" s="32"/>
    </row>
    <row r="39" spans="2:6" ht="15.75" customHeight="1" x14ac:dyDescent="0.15">
      <c r="B39" s="20"/>
      <c r="E39" s="20"/>
      <c r="F39" s="32"/>
    </row>
    <row r="40" spans="2:6" ht="15.75" customHeight="1" x14ac:dyDescent="0.15">
      <c r="B40" s="20"/>
      <c r="E40" s="20"/>
      <c r="F40" s="32"/>
    </row>
    <row r="41" spans="2:6" ht="15.75" customHeight="1" x14ac:dyDescent="0.15">
      <c r="B41" s="20"/>
      <c r="E41" s="20"/>
      <c r="F41" s="32"/>
    </row>
    <row r="42" spans="2:6" ht="15.75" customHeight="1" x14ac:dyDescent="0.15">
      <c r="B42" s="20"/>
      <c r="E42" s="20"/>
      <c r="F42" s="32"/>
    </row>
    <row r="43" spans="2:6" ht="15.75" customHeight="1" x14ac:dyDescent="0.15">
      <c r="B43" s="20"/>
      <c r="E43" s="20"/>
      <c r="F43" s="32"/>
    </row>
    <row r="44" spans="2:6" ht="15.75" customHeight="1" x14ac:dyDescent="0.15">
      <c r="B44" s="20"/>
      <c r="E44" s="20"/>
      <c r="F44" s="32"/>
    </row>
    <row r="45" spans="2:6" ht="15.75" customHeight="1" x14ac:dyDescent="0.15">
      <c r="B45" s="20"/>
      <c r="E45" s="20"/>
      <c r="F45" s="32"/>
    </row>
    <row r="46" spans="2:6" ht="15.75" customHeight="1" x14ac:dyDescent="0.15">
      <c r="B46" s="20"/>
      <c r="E46" s="20"/>
      <c r="F46" s="32"/>
    </row>
    <row r="47" spans="2:6" ht="15.75" customHeight="1" x14ac:dyDescent="0.15">
      <c r="B47" s="20"/>
      <c r="E47" s="20"/>
      <c r="F47" s="32"/>
    </row>
    <row r="48" spans="2:6" ht="15.75" customHeight="1" x14ac:dyDescent="0.15">
      <c r="B48" s="20"/>
      <c r="E48" s="20"/>
      <c r="F48" s="32"/>
    </row>
    <row r="49" spans="2:6" ht="15.75" customHeight="1" x14ac:dyDescent="0.15">
      <c r="B49" s="20"/>
      <c r="E49" s="20"/>
      <c r="F49" s="32"/>
    </row>
    <row r="50" spans="2:6" ht="15.75" customHeight="1" x14ac:dyDescent="0.15">
      <c r="B50" s="20"/>
      <c r="E50" s="20"/>
      <c r="F50" s="32"/>
    </row>
    <row r="51" spans="2:6" ht="15.75" customHeight="1" x14ac:dyDescent="0.15">
      <c r="B51" s="20"/>
      <c r="E51" s="20"/>
      <c r="F51" s="32"/>
    </row>
    <row r="52" spans="2:6" ht="15.75" customHeight="1" x14ac:dyDescent="0.15">
      <c r="B52" s="20"/>
      <c r="E52" s="20"/>
      <c r="F52" s="32"/>
    </row>
    <row r="53" spans="2:6" ht="15.75" customHeight="1" x14ac:dyDescent="0.15">
      <c r="B53" s="20"/>
      <c r="E53" s="20"/>
      <c r="F53" s="32"/>
    </row>
    <row r="54" spans="2:6" ht="15.75" customHeight="1" x14ac:dyDescent="0.15">
      <c r="B54" s="20"/>
      <c r="E54" s="20"/>
      <c r="F54" s="32"/>
    </row>
    <row r="55" spans="2:6" ht="15.75" customHeight="1" x14ac:dyDescent="0.15">
      <c r="B55" s="20"/>
      <c r="E55" s="20"/>
      <c r="F55" s="32"/>
    </row>
    <row r="56" spans="2:6" ht="15.75" customHeight="1" x14ac:dyDescent="0.15">
      <c r="B56" s="20"/>
      <c r="E56" s="20"/>
      <c r="F56" s="32"/>
    </row>
    <row r="57" spans="2:6" ht="15.75" customHeight="1" x14ac:dyDescent="0.15">
      <c r="B57" s="20"/>
      <c r="E57" s="20"/>
      <c r="F57" s="32"/>
    </row>
    <row r="58" spans="2:6" ht="15.75" customHeight="1" x14ac:dyDescent="0.15">
      <c r="B58" s="20"/>
      <c r="E58" s="20"/>
      <c r="F58" s="32"/>
    </row>
    <row r="59" spans="2:6" ht="15.75" customHeight="1" x14ac:dyDescent="0.15">
      <c r="B59" s="20"/>
      <c r="E59" s="20"/>
      <c r="F59" s="32"/>
    </row>
    <row r="60" spans="2:6" ht="15.75" customHeight="1" x14ac:dyDescent="0.15">
      <c r="B60" s="20"/>
      <c r="E60" s="20"/>
      <c r="F60" s="32"/>
    </row>
    <row r="61" spans="2:6" ht="15.75" customHeight="1" x14ac:dyDescent="0.15">
      <c r="B61" s="20"/>
      <c r="E61" s="20"/>
      <c r="F61" s="32"/>
    </row>
    <row r="62" spans="2:6" ht="15.75" customHeight="1" x14ac:dyDescent="0.15">
      <c r="B62" s="20"/>
      <c r="E62" s="20"/>
      <c r="F62" s="32"/>
    </row>
    <row r="63" spans="2:6" ht="15.75" customHeight="1" x14ac:dyDescent="0.15">
      <c r="B63" s="20"/>
      <c r="E63" s="20"/>
      <c r="F63" s="32"/>
    </row>
    <row r="64" spans="2:6" ht="15.75" customHeight="1" x14ac:dyDescent="0.15">
      <c r="B64" s="20"/>
      <c r="E64" s="20"/>
      <c r="F64" s="32"/>
    </row>
    <row r="65" spans="2:6" ht="15.75" customHeight="1" x14ac:dyDescent="0.15">
      <c r="B65" s="20"/>
      <c r="E65" s="20"/>
      <c r="F65" s="32"/>
    </row>
    <row r="66" spans="2:6" ht="15.75" customHeight="1" x14ac:dyDescent="0.15">
      <c r="B66" s="20"/>
      <c r="E66" s="20"/>
      <c r="F66" s="32"/>
    </row>
    <row r="67" spans="2:6" ht="15.75" customHeight="1" x14ac:dyDescent="0.15">
      <c r="B67" s="20"/>
      <c r="E67" s="20"/>
      <c r="F67" s="32"/>
    </row>
    <row r="68" spans="2:6" ht="15.75" customHeight="1" x14ac:dyDescent="0.15">
      <c r="B68" s="20"/>
      <c r="E68" s="20"/>
      <c r="F68" s="32"/>
    </row>
    <row r="69" spans="2:6" ht="15.75" customHeight="1" x14ac:dyDescent="0.15">
      <c r="B69" s="20"/>
      <c r="E69" s="20"/>
      <c r="F69" s="32"/>
    </row>
    <row r="70" spans="2:6" ht="15.75" customHeight="1" x14ac:dyDescent="0.15">
      <c r="B70" s="20"/>
      <c r="E70" s="20"/>
      <c r="F70" s="32"/>
    </row>
    <row r="71" spans="2:6" ht="15.75" customHeight="1" x14ac:dyDescent="0.15">
      <c r="B71" s="20"/>
      <c r="E71" s="20"/>
      <c r="F71" s="32"/>
    </row>
    <row r="72" spans="2:6" ht="15.75" customHeight="1" x14ac:dyDescent="0.15">
      <c r="B72" s="20"/>
      <c r="E72" s="20"/>
      <c r="F72" s="32"/>
    </row>
    <row r="73" spans="2:6" ht="15.75" customHeight="1" x14ac:dyDescent="0.15">
      <c r="B73" s="20"/>
      <c r="E73" s="20"/>
      <c r="F73" s="32"/>
    </row>
    <row r="74" spans="2:6" ht="15.75" customHeight="1" x14ac:dyDescent="0.15">
      <c r="B74" s="20"/>
      <c r="E74" s="20"/>
      <c r="F74" s="32"/>
    </row>
    <row r="75" spans="2:6" ht="15.75" customHeight="1" x14ac:dyDescent="0.15">
      <c r="B75" s="20"/>
      <c r="E75" s="20"/>
      <c r="F75" s="32"/>
    </row>
    <row r="76" spans="2:6" ht="15.75" customHeight="1" x14ac:dyDescent="0.15">
      <c r="B76" s="20"/>
      <c r="E76" s="20"/>
      <c r="F76" s="32"/>
    </row>
    <row r="77" spans="2:6" ht="15.75" customHeight="1" x14ac:dyDescent="0.15">
      <c r="B77" s="20"/>
      <c r="E77" s="20"/>
      <c r="F77" s="32"/>
    </row>
    <row r="78" spans="2:6" ht="15.75" customHeight="1" x14ac:dyDescent="0.15">
      <c r="B78" s="20"/>
      <c r="E78" s="20"/>
      <c r="F78" s="32"/>
    </row>
    <row r="79" spans="2:6" ht="15.75" customHeight="1" x14ac:dyDescent="0.15">
      <c r="B79" s="20"/>
      <c r="E79" s="20"/>
      <c r="F79" s="32"/>
    </row>
    <row r="80" spans="2:6" ht="15.75" customHeight="1" x14ac:dyDescent="0.15">
      <c r="B80" s="20"/>
      <c r="E80" s="20"/>
      <c r="F80" s="32"/>
    </row>
    <row r="81" spans="2:6" ht="15.75" customHeight="1" x14ac:dyDescent="0.15">
      <c r="B81" s="20"/>
      <c r="E81" s="20"/>
      <c r="F81" s="32"/>
    </row>
    <row r="82" spans="2:6" ht="15.75" customHeight="1" x14ac:dyDescent="0.15">
      <c r="B82" s="20"/>
      <c r="E82" s="20"/>
      <c r="F82" s="32"/>
    </row>
    <row r="83" spans="2:6" ht="15.75" customHeight="1" x14ac:dyDescent="0.15">
      <c r="B83" s="20"/>
      <c r="E83" s="20"/>
      <c r="F83" s="32"/>
    </row>
    <row r="84" spans="2:6" ht="15.75" customHeight="1" x14ac:dyDescent="0.15">
      <c r="B84" s="20"/>
      <c r="E84" s="20"/>
      <c r="F84" s="32"/>
    </row>
    <row r="85" spans="2:6" ht="15.75" customHeight="1" x14ac:dyDescent="0.15">
      <c r="B85" s="20"/>
      <c r="E85" s="20"/>
      <c r="F85" s="32"/>
    </row>
    <row r="86" spans="2:6" ht="15.75" customHeight="1" x14ac:dyDescent="0.15">
      <c r="B86" s="20"/>
      <c r="E86" s="20"/>
      <c r="F86" s="32"/>
    </row>
    <row r="87" spans="2:6" ht="15.75" customHeight="1" x14ac:dyDescent="0.15">
      <c r="B87" s="20"/>
      <c r="E87" s="20"/>
      <c r="F87" s="32"/>
    </row>
    <row r="88" spans="2:6" ht="15.75" customHeight="1" x14ac:dyDescent="0.15">
      <c r="B88" s="20"/>
      <c r="E88" s="20"/>
      <c r="F88" s="32"/>
    </row>
    <row r="89" spans="2:6" ht="15.75" customHeight="1" x14ac:dyDescent="0.15">
      <c r="B89" s="20"/>
      <c r="E89" s="20"/>
      <c r="F89" s="32"/>
    </row>
    <row r="90" spans="2:6" ht="15.75" customHeight="1" x14ac:dyDescent="0.15">
      <c r="B90" s="20"/>
      <c r="E90" s="20"/>
      <c r="F90" s="32"/>
    </row>
    <row r="91" spans="2:6" ht="15.75" customHeight="1" x14ac:dyDescent="0.15">
      <c r="B91" s="20"/>
      <c r="E91" s="20"/>
      <c r="F91" s="32"/>
    </row>
    <row r="92" spans="2:6" ht="15.75" customHeight="1" x14ac:dyDescent="0.15">
      <c r="B92" s="20"/>
      <c r="E92" s="20"/>
      <c r="F92" s="32"/>
    </row>
    <row r="93" spans="2:6" ht="15.75" customHeight="1" x14ac:dyDescent="0.15">
      <c r="B93" s="20"/>
      <c r="E93" s="20"/>
      <c r="F93" s="32"/>
    </row>
    <row r="94" spans="2:6" ht="15.75" customHeight="1" x14ac:dyDescent="0.15">
      <c r="B94" s="20"/>
      <c r="E94" s="20"/>
      <c r="F94" s="32"/>
    </row>
    <row r="95" spans="2:6" ht="15.75" customHeight="1" x14ac:dyDescent="0.15">
      <c r="B95" s="20"/>
      <c r="E95" s="20"/>
      <c r="F95" s="32"/>
    </row>
    <row r="96" spans="2:6" ht="15.75" customHeight="1" x14ac:dyDescent="0.15">
      <c r="B96" s="20"/>
      <c r="E96" s="20"/>
      <c r="F96" s="32"/>
    </row>
    <row r="97" spans="2:6" ht="15.75" customHeight="1" x14ac:dyDescent="0.15">
      <c r="B97" s="20"/>
      <c r="E97" s="20"/>
      <c r="F97" s="32"/>
    </row>
    <row r="98" spans="2:6" ht="15.75" customHeight="1" x14ac:dyDescent="0.15">
      <c r="B98" s="20"/>
      <c r="E98" s="20"/>
      <c r="F98" s="32"/>
    </row>
    <row r="99" spans="2:6" ht="15.75" customHeight="1" x14ac:dyDescent="0.15">
      <c r="B99" s="20"/>
      <c r="E99" s="20"/>
      <c r="F99" s="32"/>
    </row>
    <row r="100" spans="2:6" ht="15.75" customHeight="1" x14ac:dyDescent="0.15">
      <c r="B100" s="20"/>
      <c r="E100" s="20"/>
      <c r="F100" s="32"/>
    </row>
    <row r="101" spans="2:6" ht="15.75" customHeight="1" x14ac:dyDescent="0.15">
      <c r="B101" s="20"/>
      <c r="E101" s="20"/>
      <c r="F101" s="32"/>
    </row>
    <row r="102" spans="2:6" ht="15.75" customHeight="1" x14ac:dyDescent="0.15">
      <c r="B102" s="20"/>
      <c r="E102" s="20"/>
      <c r="F102" s="32"/>
    </row>
    <row r="103" spans="2:6" ht="15.75" customHeight="1" x14ac:dyDescent="0.15">
      <c r="B103" s="20"/>
      <c r="E103" s="20"/>
      <c r="F103" s="32"/>
    </row>
    <row r="104" spans="2:6" ht="15.75" customHeight="1" x14ac:dyDescent="0.15">
      <c r="B104" s="20"/>
      <c r="E104" s="20"/>
      <c r="F104" s="32"/>
    </row>
    <row r="105" spans="2:6" ht="15.75" customHeight="1" x14ac:dyDescent="0.15">
      <c r="B105" s="20"/>
      <c r="E105" s="20"/>
      <c r="F105" s="32"/>
    </row>
    <row r="106" spans="2:6" ht="15.75" customHeight="1" x14ac:dyDescent="0.15">
      <c r="B106" s="20"/>
      <c r="E106" s="20"/>
      <c r="F106" s="32"/>
    </row>
    <row r="107" spans="2:6" ht="15.75" customHeight="1" x14ac:dyDescent="0.15">
      <c r="B107" s="20"/>
      <c r="E107" s="20"/>
      <c r="F107" s="32"/>
    </row>
    <row r="108" spans="2:6" ht="15.75" customHeight="1" x14ac:dyDescent="0.15">
      <c r="B108" s="20"/>
      <c r="E108" s="20"/>
      <c r="F108" s="32"/>
    </row>
    <row r="109" spans="2:6" ht="15.75" customHeight="1" x14ac:dyDescent="0.15">
      <c r="B109" s="20"/>
      <c r="E109" s="20"/>
      <c r="F109" s="32"/>
    </row>
    <row r="110" spans="2:6" ht="15.75" customHeight="1" x14ac:dyDescent="0.15">
      <c r="B110" s="20"/>
      <c r="E110" s="20"/>
      <c r="F110" s="32"/>
    </row>
    <row r="111" spans="2:6" ht="15.75" customHeight="1" x14ac:dyDescent="0.15">
      <c r="B111" s="20"/>
      <c r="E111" s="20"/>
      <c r="F111" s="32"/>
    </row>
    <row r="112" spans="2:6" ht="15.75" customHeight="1" x14ac:dyDescent="0.15">
      <c r="B112" s="20"/>
      <c r="E112" s="20"/>
      <c r="F112" s="32"/>
    </row>
    <row r="113" spans="2:6" ht="15.75" customHeight="1" x14ac:dyDescent="0.15">
      <c r="B113" s="20"/>
      <c r="E113" s="20"/>
      <c r="F113" s="32"/>
    </row>
    <row r="114" spans="2:6" ht="15.75" customHeight="1" x14ac:dyDescent="0.15">
      <c r="B114" s="20"/>
      <c r="E114" s="20"/>
      <c r="F114" s="32"/>
    </row>
    <row r="115" spans="2:6" ht="15.75" customHeight="1" x14ac:dyDescent="0.15">
      <c r="B115" s="20"/>
      <c r="E115" s="20"/>
      <c r="F115" s="32"/>
    </row>
    <row r="116" spans="2:6" ht="15.75" customHeight="1" x14ac:dyDescent="0.15">
      <c r="B116" s="20"/>
      <c r="E116" s="20"/>
      <c r="F116" s="32"/>
    </row>
    <row r="117" spans="2:6" ht="15.75" customHeight="1" x14ac:dyDescent="0.15">
      <c r="B117" s="20"/>
      <c r="E117" s="20"/>
      <c r="F117" s="32"/>
    </row>
    <row r="118" spans="2:6" ht="15.75" customHeight="1" x14ac:dyDescent="0.15">
      <c r="B118" s="20"/>
      <c r="E118" s="20"/>
      <c r="F118" s="32"/>
    </row>
    <row r="119" spans="2:6" ht="15.75" customHeight="1" x14ac:dyDescent="0.15">
      <c r="B119" s="20"/>
      <c r="E119" s="20"/>
      <c r="F119" s="32"/>
    </row>
    <row r="120" spans="2:6" ht="15.75" customHeight="1" x14ac:dyDescent="0.15">
      <c r="B120" s="20"/>
      <c r="E120" s="20"/>
      <c r="F120" s="32"/>
    </row>
    <row r="121" spans="2:6" ht="15.75" customHeight="1" x14ac:dyDescent="0.15">
      <c r="B121" s="20"/>
      <c r="E121" s="20"/>
      <c r="F121" s="32"/>
    </row>
    <row r="122" spans="2:6" ht="15.75" customHeight="1" x14ac:dyDescent="0.15">
      <c r="B122" s="20"/>
      <c r="E122" s="20"/>
      <c r="F122" s="32"/>
    </row>
    <row r="123" spans="2:6" ht="15.75" customHeight="1" x14ac:dyDescent="0.15">
      <c r="B123" s="20"/>
      <c r="E123" s="20"/>
      <c r="F123" s="32"/>
    </row>
    <row r="124" spans="2:6" ht="15.75" customHeight="1" x14ac:dyDescent="0.15">
      <c r="B124" s="20"/>
      <c r="E124" s="20"/>
      <c r="F124" s="32"/>
    </row>
    <row r="125" spans="2:6" ht="15.75" customHeight="1" x14ac:dyDescent="0.15">
      <c r="B125" s="20"/>
      <c r="E125" s="20"/>
      <c r="F125" s="32"/>
    </row>
    <row r="126" spans="2:6" ht="15.75" customHeight="1" x14ac:dyDescent="0.15">
      <c r="B126" s="20"/>
      <c r="E126" s="20"/>
      <c r="F126" s="32"/>
    </row>
    <row r="127" spans="2:6" ht="15.75" customHeight="1" x14ac:dyDescent="0.15">
      <c r="B127" s="20"/>
      <c r="E127" s="20"/>
      <c r="F127" s="32"/>
    </row>
    <row r="128" spans="2:6" ht="15.75" customHeight="1" x14ac:dyDescent="0.15">
      <c r="B128" s="20"/>
      <c r="E128" s="20"/>
      <c r="F128" s="32"/>
    </row>
    <row r="129" spans="2:6" ht="15.75" customHeight="1" x14ac:dyDescent="0.15">
      <c r="B129" s="20"/>
      <c r="E129" s="20"/>
      <c r="F129" s="32"/>
    </row>
    <row r="130" spans="2:6" ht="15.75" customHeight="1" x14ac:dyDescent="0.15">
      <c r="B130" s="20"/>
      <c r="E130" s="20"/>
      <c r="F130" s="32"/>
    </row>
    <row r="131" spans="2:6" ht="15.75" customHeight="1" x14ac:dyDescent="0.15">
      <c r="B131" s="20"/>
      <c r="E131" s="20"/>
      <c r="F131" s="32"/>
    </row>
    <row r="132" spans="2:6" ht="15.75" customHeight="1" x14ac:dyDescent="0.15">
      <c r="B132" s="20"/>
      <c r="E132" s="20"/>
      <c r="F132" s="32"/>
    </row>
    <row r="133" spans="2:6" ht="15.75" customHeight="1" x14ac:dyDescent="0.15">
      <c r="B133" s="20"/>
      <c r="E133" s="20"/>
      <c r="F133" s="32"/>
    </row>
    <row r="134" spans="2:6" ht="15.75" customHeight="1" x14ac:dyDescent="0.15">
      <c r="B134" s="20"/>
      <c r="E134" s="20"/>
      <c r="F134" s="32"/>
    </row>
    <row r="135" spans="2:6" ht="15.75" customHeight="1" x14ac:dyDescent="0.15">
      <c r="B135" s="20"/>
      <c r="E135" s="20"/>
      <c r="F135" s="32"/>
    </row>
    <row r="136" spans="2:6" ht="15.75" customHeight="1" x14ac:dyDescent="0.15">
      <c r="B136" s="20"/>
      <c r="E136" s="20"/>
      <c r="F136" s="32"/>
    </row>
    <row r="137" spans="2:6" ht="15.75" customHeight="1" x14ac:dyDescent="0.15">
      <c r="B137" s="20"/>
      <c r="E137" s="20"/>
      <c r="F137" s="32"/>
    </row>
    <row r="138" spans="2:6" ht="15.75" customHeight="1" x14ac:dyDescent="0.15">
      <c r="B138" s="20"/>
      <c r="E138" s="20"/>
      <c r="F138" s="32"/>
    </row>
    <row r="139" spans="2:6" ht="15.75" customHeight="1" x14ac:dyDescent="0.15">
      <c r="B139" s="20"/>
      <c r="E139" s="20"/>
      <c r="F139" s="32"/>
    </row>
    <row r="140" spans="2:6" ht="15.75" customHeight="1" x14ac:dyDescent="0.15">
      <c r="B140" s="20"/>
      <c r="E140" s="20"/>
      <c r="F140" s="32"/>
    </row>
    <row r="141" spans="2:6" ht="15.75" customHeight="1" x14ac:dyDescent="0.15">
      <c r="B141" s="20"/>
      <c r="E141" s="20"/>
      <c r="F141" s="32"/>
    </row>
    <row r="142" spans="2:6" ht="15.75" customHeight="1" x14ac:dyDescent="0.15">
      <c r="B142" s="20"/>
      <c r="E142" s="20"/>
      <c r="F142" s="32"/>
    </row>
    <row r="143" spans="2:6" ht="15.75" customHeight="1" x14ac:dyDescent="0.15">
      <c r="B143" s="20"/>
      <c r="E143" s="20"/>
      <c r="F143" s="32"/>
    </row>
    <row r="144" spans="2:6" ht="15.75" customHeight="1" x14ac:dyDescent="0.15">
      <c r="B144" s="20"/>
      <c r="E144" s="20"/>
      <c r="F144" s="32"/>
    </row>
    <row r="145" spans="2:6" ht="15.75" customHeight="1" x14ac:dyDescent="0.15">
      <c r="B145" s="20"/>
      <c r="E145" s="20"/>
      <c r="F145" s="32"/>
    </row>
    <row r="146" spans="2:6" ht="15.75" customHeight="1" x14ac:dyDescent="0.15">
      <c r="B146" s="20"/>
      <c r="E146" s="20"/>
      <c r="F146" s="32"/>
    </row>
    <row r="147" spans="2:6" ht="15.75" customHeight="1" x14ac:dyDescent="0.15">
      <c r="B147" s="20"/>
      <c r="E147" s="20"/>
      <c r="F147" s="32"/>
    </row>
    <row r="148" spans="2:6" ht="15.75" customHeight="1" x14ac:dyDescent="0.15">
      <c r="B148" s="20"/>
      <c r="E148" s="20"/>
      <c r="F148" s="32"/>
    </row>
    <row r="149" spans="2:6" ht="15.75" customHeight="1" x14ac:dyDescent="0.15">
      <c r="B149" s="20"/>
      <c r="E149" s="20"/>
      <c r="F149" s="32"/>
    </row>
    <row r="150" spans="2:6" ht="15.75" customHeight="1" x14ac:dyDescent="0.15">
      <c r="B150" s="20"/>
      <c r="E150" s="20"/>
      <c r="F150" s="32"/>
    </row>
    <row r="151" spans="2:6" ht="15.75" customHeight="1" x14ac:dyDescent="0.15">
      <c r="B151" s="20"/>
      <c r="D151" s="51"/>
      <c r="E151" s="20"/>
      <c r="F151" s="32"/>
    </row>
    <row r="152" spans="2:6" ht="15.75" customHeight="1" x14ac:dyDescent="0.15">
      <c r="B152" s="20"/>
      <c r="E152" s="20"/>
      <c r="F152" s="32"/>
    </row>
    <row r="153" spans="2:6" ht="15.75" customHeight="1" x14ac:dyDescent="0.15">
      <c r="B153" s="20"/>
      <c r="E153" s="20"/>
      <c r="F153" s="32"/>
    </row>
    <row r="154" spans="2:6" ht="15.75" customHeight="1" x14ac:dyDescent="0.15">
      <c r="B154" s="20"/>
      <c r="E154" s="20"/>
      <c r="F154" s="32"/>
    </row>
    <row r="155" spans="2:6" ht="15.75" customHeight="1" x14ac:dyDescent="0.15">
      <c r="B155" s="20"/>
      <c r="E155" s="20"/>
      <c r="F155" s="32"/>
    </row>
    <row r="156" spans="2:6" ht="15.75" customHeight="1" x14ac:dyDescent="0.15">
      <c r="B156" s="20"/>
      <c r="E156" s="20"/>
      <c r="F156" s="32"/>
    </row>
    <row r="157" spans="2:6" ht="15.75" customHeight="1" x14ac:dyDescent="0.15">
      <c r="B157" s="20"/>
      <c r="E157" s="20"/>
      <c r="F157" s="32"/>
    </row>
    <row r="158" spans="2:6" ht="15.75" customHeight="1" x14ac:dyDescent="0.15">
      <c r="B158" s="20"/>
      <c r="E158" s="20"/>
      <c r="F158" s="32"/>
    </row>
    <row r="159" spans="2:6" ht="15.75" customHeight="1" x14ac:dyDescent="0.15">
      <c r="B159" s="20"/>
      <c r="E159" s="20"/>
      <c r="F159" s="32"/>
    </row>
    <row r="160" spans="2:6" ht="15.75" customHeight="1" x14ac:dyDescent="0.15">
      <c r="B160" s="20"/>
      <c r="E160" s="20"/>
      <c r="F160" s="32"/>
    </row>
    <row r="161" spans="2:6" ht="15.75" customHeight="1" x14ac:dyDescent="0.15">
      <c r="B161" s="20"/>
      <c r="E161" s="20"/>
      <c r="F161" s="32"/>
    </row>
    <row r="162" spans="2:6" ht="15.75" customHeight="1" x14ac:dyDescent="0.15">
      <c r="B162" s="20"/>
      <c r="E162" s="20"/>
      <c r="F162" s="32"/>
    </row>
    <row r="163" spans="2:6" ht="15.75" customHeight="1" x14ac:dyDescent="0.15">
      <c r="B163" s="20"/>
      <c r="E163" s="20"/>
      <c r="F163" s="32"/>
    </row>
    <row r="164" spans="2:6" ht="15.75" customHeight="1" x14ac:dyDescent="0.15">
      <c r="B164" s="20"/>
      <c r="E164" s="20"/>
      <c r="F164" s="32"/>
    </row>
    <row r="165" spans="2:6" ht="15.75" customHeight="1" x14ac:dyDescent="0.15">
      <c r="B165" s="20"/>
      <c r="E165" s="20"/>
      <c r="F165" s="32"/>
    </row>
    <row r="166" spans="2:6" ht="15.75" customHeight="1" x14ac:dyDescent="0.15">
      <c r="B166" s="20"/>
      <c r="E166" s="20"/>
      <c r="F166" s="32"/>
    </row>
    <row r="167" spans="2:6" ht="15.75" customHeight="1" x14ac:dyDescent="0.15">
      <c r="B167" s="20"/>
      <c r="E167" s="20"/>
      <c r="F167" s="32"/>
    </row>
    <row r="168" spans="2:6" ht="15.75" customHeight="1" x14ac:dyDescent="0.15">
      <c r="B168" s="20"/>
      <c r="E168" s="20"/>
      <c r="F168" s="32"/>
    </row>
    <row r="169" spans="2:6" ht="15.75" customHeight="1" x14ac:dyDescent="0.15">
      <c r="B169" s="20"/>
      <c r="E169" s="20"/>
      <c r="F169" s="32"/>
    </row>
    <row r="170" spans="2:6" ht="15.75" customHeight="1" x14ac:dyDescent="0.15">
      <c r="B170" s="20"/>
      <c r="E170" s="20"/>
      <c r="F170" s="32"/>
    </row>
    <row r="171" spans="2:6" ht="15.75" customHeight="1" x14ac:dyDescent="0.15">
      <c r="B171" s="20"/>
      <c r="E171" s="20"/>
      <c r="F171" s="32"/>
    </row>
    <row r="172" spans="2:6" ht="15.75" customHeight="1" x14ac:dyDescent="0.15">
      <c r="B172" s="20"/>
      <c r="E172" s="20"/>
      <c r="F172" s="32"/>
    </row>
    <row r="173" spans="2:6" ht="15.75" customHeight="1" x14ac:dyDescent="0.15">
      <c r="B173" s="20"/>
      <c r="E173" s="20"/>
      <c r="F173" s="32"/>
    </row>
    <row r="174" spans="2:6" ht="15.75" customHeight="1" x14ac:dyDescent="0.15">
      <c r="B174" s="20"/>
      <c r="E174" s="20"/>
      <c r="F174" s="32"/>
    </row>
    <row r="175" spans="2:6" ht="15.75" customHeight="1" x14ac:dyDescent="0.15">
      <c r="B175" s="20"/>
      <c r="E175" s="20"/>
      <c r="F175" s="32"/>
    </row>
    <row r="176" spans="2:6" ht="15.75" customHeight="1" x14ac:dyDescent="0.15">
      <c r="B176" s="20"/>
      <c r="E176" s="20"/>
      <c r="F176" s="32"/>
    </row>
    <row r="177" spans="2:6" ht="15.75" customHeight="1" x14ac:dyDescent="0.15">
      <c r="B177" s="20"/>
      <c r="E177" s="20"/>
      <c r="F177" s="32"/>
    </row>
    <row r="178" spans="2:6" ht="15.75" customHeight="1" x14ac:dyDescent="0.15">
      <c r="B178" s="20"/>
      <c r="E178" s="20"/>
      <c r="F178" s="32"/>
    </row>
    <row r="179" spans="2:6" ht="15.75" customHeight="1" x14ac:dyDescent="0.15">
      <c r="B179" s="20"/>
      <c r="E179" s="20"/>
      <c r="F179" s="32"/>
    </row>
    <row r="180" spans="2:6" ht="15.75" customHeight="1" x14ac:dyDescent="0.15">
      <c r="B180" s="20"/>
      <c r="E180" s="20"/>
      <c r="F180" s="32"/>
    </row>
    <row r="181" spans="2:6" ht="15.75" customHeight="1" x14ac:dyDescent="0.15">
      <c r="B181" s="20"/>
      <c r="E181" s="20"/>
      <c r="F181" s="32"/>
    </row>
    <row r="182" spans="2:6" ht="15.75" customHeight="1" x14ac:dyDescent="0.15">
      <c r="B182" s="20"/>
      <c r="E182" s="20"/>
      <c r="F182" s="32"/>
    </row>
    <row r="183" spans="2:6" ht="15.75" customHeight="1" x14ac:dyDescent="0.15">
      <c r="B183" s="20"/>
      <c r="E183" s="20"/>
      <c r="F183" s="32"/>
    </row>
    <row r="184" spans="2:6" ht="15.75" customHeight="1" x14ac:dyDescent="0.15">
      <c r="B184" s="20"/>
      <c r="E184" s="20"/>
      <c r="F184" s="32"/>
    </row>
    <row r="185" spans="2:6" ht="15.75" customHeight="1" x14ac:dyDescent="0.15">
      <c r="B185" s="20"/>
      <c r="E185" s="20"/>
      <c r="F185" s="32"/>
    </row>
    <row r="186" spans="2:6" ht="15.75" customHeight="1" x14ac:dyDescent="0.15">
      <c r="B186" s="20"/>
      <c r="E186" s="20"/>
      <c r="F186" s="32"/>
    </row>
    <row r="187" spans="2:6" ht="15.75" customHeight="1" x14ac:dyDescent="0.15">
      <c r="B187" s="20"/>
      <c r="E187" s="20"/>
      <c r="F187" s="32"/>
    </row>
    <row r="188" spans="2:6" ht="15.75" customHeight="1" x14ac:dyDescent="0.15">
      <c r="B188" s="20"/>
      <c r="E188" s="20"/>
      <c r="F188" s="32"/>
    </row>
    <row r="189" spans="2:6" ht="15.75" customHeight="1" x14ac:dyDescent="0.15">
      <c r="B189" s="20"/>
      <c r="E189" s="20"/>
      <c r="F189" s="32"/>
    </row>
    <row r="190" spans="2:6" ht="15.75" customHeight="1" x14ac:dyDescent="0.15">
      <c r="B190" s="20"/>
      <c r="E190" s="20"/>
      <c r="F190" s="32"/>
    </row>
    <row r="191" spans="2:6" ht="15.75" customHeight="1" x14ac:dyDescent="0.15">
      <c r="B191" s="20"/>
      <c r="E191" s="20"/>
      <c r="F191" s="32"/>
    </row>
    <row r="192" spans="2:6" ht="15.75" customHeight="1" x14ac:dyDescent="0.15">
      <c r="B192" s="20"/>
      <c r="E192" s="20"/>
      <c r="F192" s="32"/>
    </row>
    <row r="193" spans="2:6" ht="15.75" customHeight="1" x14ac:dyDescent="0.15">
      <c r="B193" s="20"/>
      <c r="E193" s="20"/>
      <c r="F193" s="32"/>
    </row>
    <row r="194" spans="2:6" ht="15.75" customHeight="1" x14ac:dyDescent="0.15">
      <c r="B194" s="20"/>
      <c r="E194" s="20"/>
      <c r="F194" s="32"/>
    </row>
    <row r="195" spans="2:6" ht="15.75" customHeight="1" x14ac:dyDescent="0.15">
      <c r="B195" s="20"/>
      <c r="E195" s="20"/>
      <c r="F195" s="32"/>
    </row>
    <row r="196" spans="2:6" ht="15.75" customHeight="1" x14ac:dyDescent="0.15">
      <c r="B196" s="20"/>
      <c r="E196" s="20"/>
      <c r="F196" s="32"/>
    </row>
    <row r="197" spans="2:6" ht="15.75" customHeight="1" x14ac:dyDescent="0.15">
      <c r="B197" s="20"/>
      <c r="E197" s="20"/>
      <c r="F197" s="32"/>
    </row>
    <row r="198" spans="2:6" ht="15.75" customHeight="1" x14ac:dyDescent="0.15">
      <c r="B198" s="20"/>
      <c r="E198" s="20"/>
      <c r="F198" s="32"/>
    </row>
    <row r="199" spans="2:6" ht="15.75" customHeight="1" x14ac:dyDescent="0.15">
      <c r="B199" s="20"/>
      <c r="E199" s="20"/>
      <c r="F199" s="32"/>
    </row>
    <row r="200" spans="2:6" ht="15.75" customHeight="1" x14ac:dyDescent="0.15">
      <c r="B200" s="20"/>
      <c r="E200" s="20"/>
      <c r="F200" s="32"/>
    </row>
    <row r="201" spans="2:6" ht="15.75" customHeight="1" x14ac:dyDescent="0.15">
      <c r="B201" s="20"/>
      <c r="E201" s="20"/>
      <c r="F201" s="32"/>
    </row>
    <row r="202" spans="2:6" ht="15.75" customHeight="1" x14ac:dyDescent="0.15">
      <c r="B202" s="20"/>
      <c r="E202" s="20"/>
      <c r="F202" s="32"/>
    </row>
    <row r="203" spans="2:6" ht="15.75" customHeight="1" x14ac:dyDescent="0.15">
      <c r="B203" s="20"/>
      <c r="E203" s="20"/>
      <c r="F203" s="32"/>
    </row>
    <row r="204" spans="2:6" ht="15.75" customHeight="1" x14ac:dyDescent="0.15">
      <c r="B204" s="20"/>
      <c r="E204" s="20"/>
      <c r="F204" s="32"/>
    </row>
    <row r="205" spans="2:6" ht="15.75" customHeight="1" x14ac:dyDescent="0.15">
      <c r="B205" s="20"/>
      <c r="E205" s="20"/>
      <c r="F205" s="32"/>
    </row>
    <row r="206" spans="2:6" ht="15.75" customHeight="1" x14ac:dyDescent="0.15">
      <c r="B206" s="20"/>
      <c r="E206" s="20"/>
      <c r="F206" s="32"/>
    </row>
    <row r="207" spans="2:6" ht="15.75" customHeight="1" x14ac:dyDescent="0.15">
      <c r="B207" s="20"/>
      <c r="E207" s="20"/>
      <c r="F207" s="32"/>
    </row>
    <row r="208" spans="2:6" ht="15.75" customHeight="1" x14ac:dyDescent="0.15">
      <c r="B208" s="20"/>
      <c r="E208" s="20"/>
      <c r="F208" s="32"/>
    </row>
    <row r="209" spans="2:6" ht="15.75" customHeight="1" x14ac:dyDescent="0.15">
      <c r="B209" s="20"/>
      <c r="E209" s="20"/>
      <c r="F209" s="32"/>
    </row>
    <row r="210" spans="2:6" ht="15.75" customHeight="1" x14ac:dyDescent="0.15">
      <c r="B210" s="20"/>
      <c r="E210" s="20"/>
      <c r="F210" s="32"/>
    </row>
    <row r="211" spans="2:6" ht="15.75" customHeight="1" x14ac:dyDescent="0.15">
      <c r="B211" s="20"/>
      <c r="E211" s="20"/>
      <c r="F211" s="32"/>
    </row>
    <row r="212" spans="2:6" ht="15.75" customHeight="1" x14ac:dyDescent="0.15">
      <c r="B212" s="20"/>
      <c r="E212" s="20"/>
      <c r="F212" s="32"/>
    </row>
    <row r="213" spans="2:6" ht="15.75" customHeight="1" x14ac:dyDescent="0.15">
      <c r="B213" s="20"/>
      <c r="E213" s="20"/>
      <c r="F213" s="32"/>
    </row>
    <row r="214" spans="2:6" ht="15.75" customHeight="1" x14ac:dyDescent="0.15">
      <c r="B214" s="20"/>
      <c r="E214" s="20"/>
      <c r="F214" s="32"/>
    </row>
    <row r="215" spans="2:6" ht="15.75" customHeight="1" x14ac:dyDescent="0.15">
      <c r="B215" s="20"/>
      <c r="E215" s="20"/>
      <c r="F215" s="32"/>
    </row>
    <row r="216" spans="2:6" ht="15.75" customHeight="1" x14ac:dyDescent="0.15">
      <c r="B216" s="20"/>
      <c r="E216" s="20"/>
      <c r="F216" s="32"/>
    </row>
    <row r="217" spans="2:6" ht="15.75" customHeight="1" x14ac:dyDescent="0.15">
      <c r="B217" s="20"/>
      <c r="E217" s="20"/>
      <c r="F217" s="32"/>
    </row>
    <row r="218" spans="2:6" ht="15.75" customHeight="1" x14ac:dyDescent="0.15">
      <c r="B218" s="20"/>
      <c r="E218" s="20"/>
      <c r="F218" s="32"/>
    </row>
    <row r="219" spans="2:6" ht="15.75" customHeight="1" x14ac:dyDescent="0.15">
      <c r="B219" s="20"/>
      <c r="E219" s="20"/>
      <c r="F219" s="32"/>
    </row>
    <row r="220" spans="2:6" ht="15.75" customHeight="1" x14ac:dyDescent="0.15">
      <c r="B220" s="20"/>
      <c r="E220" s="20"/>
      <c r="F220" s="32"/>
    </row>
    <row r="221" spans="2:6" ht="15.75" customHeight="1" x14ac:dyDescent="0.15">
      <c r="B221" s="20"/>
      <c r="E221" s="20"/>
      <c r="F221" s="32"/>
    </row>
    <row r="222" spans="2:6" ht="15.75" customHeight="1" x14ac:dyDescent="0.15">
      <c r="B222" s="20"/>
      <c r="E222" s="20"/>
      <c r="F222" s="32"/>
    </row>
    <row r="223" spans="2:6" ht="15.75" customHeight="1" x14ac:dyDescent="0.15">
      <c r="B223" s="20"/>
      <c r="E223" s="20"/>
      <c r="F223" s="32"/>
    </row>
    <row r="224" spans="2:6" ht="15.75" customHeight="1" x14ac:dyDescent="0.15">
      <c r="B224" s="20"/>
      <c r="E224" s="20"/>
      <c r="F224" s="32"/>
    </row>
    <row r="225" spans="2:6" ht="15.75" customHeight="1" x14ac:dyDescent="0.15">
      <c r="B225" s="20"/>
      <c r="E225" s="20"/>
      <c r="F225" s="32"/>
    </row>
    <row r="226" spans="2:6" ht="15.75" customHeight="1" x14ac:dyDescent="0.15">
      <c r="B226" s="20"/>
      <c r="E226" s="20"/>
      <c r="F226" s="32"/>
    </row>
    <row r="227" spans="2:6" ht="15.75" customHeight="1" x14ac:dyDescent="0.15">
      <c r="B227" s="20"/>
      <c r="E227" s="20"/>
      <c r="F227" s="32"/>
    </row>
    <row r="228" spans="2:6" ht="15.75" customHeight="1" x14ac:dyDescent="0.15">
      <c r="B228" s="20"/>
      <c r="E228" s="20"/>
      <c r="F228" s="32"/>
    </row>
    <row r="229" spans="2:6" ht="15.75" customHeight="1" x14ac:dyDescent="0.15">
      <c r="B229" s="20"/>
      <c r="E229" s="20"/>
      <c r="F229" s="32"/>
    </row>
    <row r="230" spans="2:6" ht="15.75" customHeight="1" x14ac:dyDescent="0.15">
      <c r="B230" s="20"/>
      <c r="E230" s="20"/>
      <c r="F230" s="32"/>
    </row>
    <row r="231" spans="2:6" ht="15.75" customHeight="1" x14ac:dyDescent="0.15">
      <c r="B231" s="20"/>
      <c r="E231" s="20"/>
      <c r="F231" s="32"/>
    </row>
    <row r="232" spans="2:6" ht="15.75" customHeight="1" x14ac:dyDescent="0.15">
      <c r="B232" s="20"/>
      <c r="E232" s="20"/>
      <c r="F232" s="32"/>
    </row>
    <row r="233" spans="2:6" ht="15.75" customHeight="1" x14ac:dyDescent="0.15">
      <c r="B233" s="20"/>
      <c r="E233" s="20"/>
      <c r="F233" s="32"/>
    </row>
    <row r="234" spans="2:6" ht="15.75" customHeight="1" x14ac:dyDescent="0.15">
      <c r="B234" s="20"/>
      <c r="E234" s="20"/>
      <c r="F234" s="32"/>
    </row>
    <row r="235" spans="2:6" ht="15.75" customHeight="1" x14ac:dyDescent="0.15">
      <c r="B235" s="20"/>
      <c r="E235" s="20"/>
      <c r="F235" s="32"/>
    </row>
    <row r="236" spans="2:6" ht="15.75" customHeight="1" x14ac:dyDescent="0.15">
      <c r="B236" s="20"/>
      <c r="E236" s="20"/>
      <c r="F236" s="32"/>
    </row>
    <row r="237" spans="2:6" ht="15.75" customHeight="1" x14ac:dyDescent="0.15">
      <c r="B237" s="20"/>
      <c r="E237" s="20"/>
      <c r="F237" s="32"/>
    </row>
    <row r="238" spans="2:6" ht="15.75" customHeight="1" x14ac:dyDescent="0.15">
      <c r="B238" s="20"/>
      <c r="E238" s="20"/>
      <c r="F238" s="32"/>
    </row>
    <row r="239" spans="2:6" ht="15.75" customHeight="1" x14ac:dyDescent="0.15">
      <c r="B239" s="20"/>
      <c r="E239" s="20"/>
      <c r="F239" s="32"/>
    </row>
    <row r="240" spans="2:6" ht="15.75" customHeight="1" x14ac:dyDescent="0.15">
      <c r="B240" s="20"/>
      <c r="E240" s="20"/>
      <c r="F240" s="32"/>
    </row>
    <row r="241" spans="2:6" ht="15.75" customHeight="1" x14ac:dyDescent="0.15">
      <c r="B241" s="20"/>
      <c r="E241" s="20"/>
      <c r="F241" s="32"/>
    </row>
    <row r="242" spans="2:6" ht="15.75" customHeight="1" x14ac:dyDescent="0.15">
      <c r="B242" s="20"/>
      <c r="E242" s="20"/>
      <c r="F242" s="32"/>
    </row>
    <row r="243" spans="2:6" ht="15.75" customHeight="1" x14ac:dyDescent="0.15">
      <c r="B243" s="20"/>
      <c r="E243" s="20"/>
      <c r="F243" s="32"/>
    </row>
    <row r="244" spans="2:6" ht="15.75" customHeight="1" x14ac:dyDescent="0.15">
      <c r="B244" s="20"/>
      <c r="E244" s="20"/>
      <c r="F244" s="32"/>
    </row>
    <row r="245" spans="2:6" ht="15.75" customHeight="1" x14ac:dyDescent="0.15">
      <c r="B245" s="20"/>
      <c r="E245" s="20"/>
      <c r="F245" s="32"/>
    </row>
    <row r="246" spans="2:6" ht="15.75" customHeight="1" x14ac:dyDescent="0.15">
      <c r="B246" s="20"/>
      <c r="E246" s="20"/>
      <c r="F246" s="32"/>
    </row>
    <row r="247" spans="2:6" ht="15.75" customHeight="1" x14ac:dyDescent="0.15">
      <c r="B247" s="20"/>
      <c r="E247" s="20"/>
      <c r="F247" s="32"/>
    </row>
    <row r="248" spans="2:6" ht="15.75" customHeight="1" x14ac:dyDescent="0.15">
      <c r="B248" s="20"/>
      <c r="E248" s="20"/>
      <c r="F248" s="32"/>
    </row>
    <row r="249" spans="2:6" ht="15.75" customHeight="1" x14ac:dyDescent="0.15">
      <c r="B249" s="20"/>
      <c r="E249" s="20"/>
      <c r="F249" s="23"/>
    </row>
    <row r="250" spans="2:6" ht="15.75" customHeight="1" x14ac:dyDescent="0.15">
      <c r="B250" s="20"/>
      <c r="E250" s="20"/>
      <c r="F250" s="23"/>
    </row>
    <row r="251" spans="2:6" ht="15.75" customHeight="1" x14ac:dyDescent="0.15">
      <c r="B251" s="20"/>
      <c r="E251" s="20"/>
      <c r="F251" s="23"/>
    </row>
    <row r="252" spans="2:6" ht="15.75" customHeight="1" x14ac:dyDescent="0.15">
      <c r="B252" s="20"/>
      <c r="E252" s="20"/>
      <c r="F252" s="23"/>
    </row>
    <row r="253" spans="2:6" ht="15.75" customHeight="1" x14ac:dyDescent="0.15">
      <c r="B253" s="20"/>
      <c r="E253" s="20"/>
      <c r="F253" s="23"/>
    </row>
    <row r="254" spans="2:6" ht="15.75" customHeight="1" x14ac:dyDescent="0.15">
      <c r="B254" s="20"/>
      <c r="E254" s="20"/>
      <c r="F254" s="23"/>
    </row>
    <row r="255" spans="2:6" ht="15.75" customHeight="1" x14ac:dyDescent="0.15">
      <c r="B255" s="20"/>
      <c r="E255" s="20"/>
      <c r="F255" s="23"/>
    </row>
    <row r="256" spans="2:6" ht="15.75" customHeight="1" x14ac:dyDescent="0.15">
      <c r="B256" s="20"/>
      <c r="E256" s="20"/>
      <c r="F256" s="23"/>
    </row>
    <row r="257" spans="2:6" ht="15.75" customHeight="1" x14ac:dyDescent="0.15">
      <c r="B257" s="20"/>
      <c r="E257" s="20"/>
      <c r="F257" s="23"/>
    </row>
    <row r="258" spans="2:6" ht="15.75" customHeight="1" x14ac:dyDescent="0.15">
      <c r="B258" s="20"/>
      <c r="E258" s="20"/>
      <c r="F258" s="23"/>
    </row>
    <row r="259" spans="2:6" ht="15.75" customHeight="1" x14ac:dyDescent="0.15">
      <c r="B259" s="20"/>
      <c r="E259" s="20"/>
      <c r="F259" s="23"/>
    </row>
    <row r="260" spans="2:6" ht="15.75" customHeight="1" x14ac:dyDescent="0.15">
      <c r="B260" s="20"/>
      <c r="E260" s="20"/>
      <c r="F260" s="23"/>
    </row>
    <row r="261" spans="2:6" ht="15.75" customHeight="1" x14ac:dyDescent="0.15">
      <c r="B261" s="20"/>
      <c r="C261" s="51"/>
      <c r="E261" s="20"/>
      <c r="F261" s="23"/>
    </row>
    <row r="262" spans="2:6" ht="15.75" customHeight="1" x14ac:dyDescent="0.15">
      <c r="B262" s="20"/>
      <c r="E262" s="20"/>
      <c r="F262" s="23"/>
    </row>
    <row r="263" spans="2:6" ht="15.75" customHeight="1" x14ac:dyDescent="0.15">
      <c r="B263" s="20"/>
      <c r="E263" s="20"/>
      <c r="F263" s="23"/>
    </row>
    <row r="264" spans="2:6" ht="15.75" customHeight="1" x14ac:dyDescent="0.15">
      <c r="B264" s="20"/>
      <c r="E264" s="20"/>
      <c r="F264" s="23"/>
    </row>
    <row r="265" spans="2:6" ht="15.75" customHeight="1" x14ac:dyDescent="0.15">
      <c r="B265" s="20"/>
      <c r="E265" s="20"/>
      <c r="F265" s="23"/>
    </row>
    <row r="266" spans="2:6" ht="15.75" customHeight="1" x14ac:dyDescent="0.15">
      <c r="B266" s="20"/>
      <c r="E266" s="20"/>
      <c r="F266" s="23"/>
    </row>
    <row r="267" spans="2:6" ht="15.75" customHeight="1" x14ac:dyDescent="0.15">
      <c r="B267" s="20"/>
      <c r="E267" s="20"/>
      <c r="F267" s="23"/>
    </row>
    <row r="268" spans="2:6" ht="15.75" customHeight="1" x14ac:dyDescent="0.15">
      <c r="B268" s="20"/>
      <c r="E268" s="20"/>
      <c r="F268" s="23"/>
    </row>
    <row r="269" spans="2:6" ht="15.75" customHeight="1" x14ac:dyDescent="0.15">
      <c r="B269" s="20"/>
      <c r="E269" s="20"/>
      <c r="F269" s="23"/>
    </row>
    <row r="270" spans="2:6" ht="15.75" customHeight="1" x14ac:dyDescent="0.15">
      <c r="B270" s="20"/>
      <c r="E270" s="20"/>
      <c r="F270" s="23"/>
    </row>
    <row r="271" spans="2:6" ht="15.75" customHeight="1" x14ac:dyDescent="0.15">
      <c r="B271" s="20"/>
      <c r="E271" s="20"/>
      <c r="F271" s="23"/>
    </row>
    <row r="272" spans="2:6" ht="15.75" customHeight="1" x14ac:dyDescent="0.15">
      <c r="B272" s="20"/>
      <c r="E272" s="20"/>
      <c r="F272" s="23"/>
    </row>
    <row r="273" spans="2:6" ht="15.75" customHeight="1" x14ac:dyDescent="0.15">
      <c r="B273" s="20"/>
      <c r="E273" s="20"/>
      <c r="F273" s="23"/>
    </row>
    <row r="274" spans="2:6" ht="15.75" customHeight="1" x14ac:dyDescent="0.15">
      <c r="B274" s="20"/>
      <c r="E274" s="20"/>
      <c r="F274" s="23"/>
    </row>
    <row r="275" spans="2:6" ht="15.75" customHeight="1" x14ac:dyDescent="0.15">
      <c r="B275" s="20"/>
      <c r="E275" s="20"/>
      <c r="F275" s="23"/>
    </row>
    <row r="276" spans="2:6" ht="15.75" customHeight="1" x14ac:dyDescent="0.15">
      <c r="B276" s="20"/>
      <c r="E276" s="20"/>
      <c r="F276" s="23"/>
    </row>
    <row r="277" spans="2:6" ht="15.75" customHeight="1" x14ac:dyDescent="0.15">
      <c r="B277" s="20"/>
      <c r="E277" s="20"/>
      <c r="F277" s="23"/>
    </row>
    <row r="278" spans="2:6" ht="15.75" customHeight="1" x14ac:dyDescent="0.15">
      <c r="B278" s="20"/>
      <c r="E278" s="20"/>
      <c r="F278" s="23"/>
    </row>
    <row r="279" spans="2:6" ht="15.75" customHeight="1" x14ac:dyDescent="0.15">
      <c r="B279" s="20"/>
      <c r="E279" s="20"/>
      <c r="F279" s="23"/>
    </row>
    <row r="280" spans="2:6" ht="15.75" customHeight="1" x14ac:dyDescent="0.15">
      <c r="B280" s="20"/>
      <c r="E280" s="20"/>
      <c r="F280" s="23"/>
    </row>
    <row r="281" spans="2:6" ht="15.75" customHeight="1" x14ac:dyDescent="0.15">
      <c r="B281" s="20"/>
      <c r="E281" s="20"/>
      <c r="F281" s="23"/>
    </row>
    <row r="282" spans="2:6" ht="15.75" customHeight="1" x14ac:dyDescent="0.15">
      <c r="B282" s="20"/>
      <c r="E282" s="20"/>
      <c r="F282" s="23"/>
    </row>
    <row r="283" spans="2:6" ht="15.75" customHeight="1" x14ac:dyDescent="0.15">
      <c r="B283" s="20"/>
      <c r="E283" s="20"/>
      <c r="F283" s="23"/>
    </row>
    <row r="284" spans="2:6" ht="15.75" customHeight="1" x14ac:dyDescent="0.15">
      <c r="B284" s="20"/>
      <c r="E284" s="20"/>
      <c r="F284" s="23"/>
    </row>
    <row r="285" spans="2:6" ht="15.75" customHeight="1" x14ac:dyDescent="0.15">
      <c r="B285" s="20"/>
      <c r="E285" s="20"/>
      <c r="F285" s="23"/>
    </row>
    <row r="286" spans="2:6" ht="15.75" customHeight="1" x14ac:dyDescent="0.15">
      <c r="B286" s="20"/>
      <c r="E286" s="20"/>
      <c r="F286" s="23"/>
    </row>
    <row r="287" spans="2:6" ht="15.75" customHeight="1" x14ac:dyDescent="0.15">
      <c r="B287" s="20"/>
      <c r="E287" s="20"/>
      <c r="F287" s="23"/>
    </row>
    <row r="288" spans="2:6" ht="15.75" customHeight="1" x14ac:dyDescent="0.15">
      <c r="B288" s="20"/>
      <c r="E288" s="20"/>
      <c r="F288" s="23"/>
    </row>
    <row r="289" spans="2:6" ht="15.75" customHeight="1" x14ac:dyDescent="0.15">
      <c r="B289" s="20"/>
      <c r="E289" s="20"/>
      <c r="F289" s="23"/>
    </row>
    <row r="290" spans="2:6" ht="15.75" customHeight="1" x14ac:dyDescent="0.15">
      <c r="B290" s="20"/>
      <c r="E290" s="20"/>
      <c r="F290" s="23"/>
    </row>
    <row r="291" spans="2:6" ht="15.75" customHeight="1" x14ac:dyDescent="0.15">
      <c r="B291" s="20"/>
      <c r="E291" s="20"/>
      <c r="F291" s="23"/>
    </row>
    <row r="292" spans="2:6" ht="15.75" customHeight="1" x14ac:dyDescent="0.15">
      <c r="B292" s="20"/>
      <c r="E292" s="20"/>
      <c r="F292" s="23"/>
    </row>
    <row r="293" spans="2:6" ht="15.75" customHeight="1" x14ac:dyDescent="0.15">
      <c r="B293" s="20"/>
      <c r="E293" s="20"/>
      <c r="F293" s="23"/>
    </row>
    <row r="294" spans="2:6" ht="15.75" customHeight="1" x14ac:dyDescent="0.15">
      <c r="B294" s="20"/>
      <c r="E294" s="20"/>
      <c r="F294" s="23"/>
    </row>
    <row r="295" spans="2:6" ht="15.75" customHeight="1" x14ac:dyDescent="0.15">
      <c r="B295" s="20"/>
      <c r="E295" s="20"/>
      <c r="F295" s="23"/>
    </row>
    <row r="296" spans="2:6" ht="15.75" customHeight="1" x14ac:dyDescent="0.15">
      <c r="B296" s="20"/>
      <c r="E296" s="20"/>
      <c r="F296" s="23"/>
    </row>
    <row r="297" spans="2:6" ht="15.75" customHeight="1" x14ac:dyDescent="0.15">
      <c r="B297" s="20"/>
      <c r="E297" s="20"/>
      <c r="F297" s="23"/>
    </row>
    <row r="298" spans="2:6" ht="15.75" customHeight="1" x14ac:dyDescent="0.15">
      <c r="B298" s="20"/>
      <c r="E298" s="20"/>
      <c r="F298" s="23"/>
    </row>
    <row r="299" spans="2:6" ht="15.75" customHeight="1" x14ac:dyDescent="0.15">
      <c r="B299" s="20"/>
      <c r="E299" s="20"/>
      <c r="F299" s="23"/>
    </row>
    <row r="300" spans="2:6" ht="15.75" customHeight="1" x14ac:dyDescent="0.15">
      <c r="B300" s="20"/>
      <c r="E300" s="20"/>
      <c r="F300" s="23"/>
    </row>
    <row r="301" spans="2:6" ht="15.75" customHeight="1" x14ac:dyDescent="0.15">
      <c r="B301" s="20"/>
      <c r="E301" s="20"/>
      <c r="F301" s="23"/>
    </row>
    <row r="302" spans="2:6" ht="15.75" customHeight="1" x14ac:dyDescent="0.15">
      <c r="B302" s="20"/>
      <c r="E302" s="20"/>
      <c r="F302" s="23"/>
    </row>
    <row r="303" spans="2:6" ht="15.75" customHeight="1" x14ac:dyDescent="0.15">
      <c r="B303" s="20"/>
      <c r="E303" s="20"/>
      <c r="F303" s="23"/>
    </row>
    <row r="304" spans="2:6" ht="15.75" customHeight="1" x14ac:dyDescent="0.15">
      <c r="B304" s="20"/>
      <c r="E304" s="20"/>
      <c r="F304" s="23"/>
    </row>
    <row r="305" spans="2:6" ht="15.75" customHeight="1" x14ac:dyDescent="0.15">
      <c r="B305" s="20"/>
      <c r="E305" s="20"/>
      <c r="F305" s="23"/>
    </row>
    <row r="306" spans="2:6" ht="15.75" customHeight="1" x14ac:dyDescent="0.15">
      <c r="B306" s="20"/>
      <c r="E306" s="20"/>
      <c r="F306" s="23"/>
    </row>
    <row r="307" spans="2:6" ht="15.75" customHeight="1" x14ac:dyDescent="0.15">
      <c r="B307" s="20"/>
      <c r="E307" s="20"/>
      <c r="F307" s="23"/>
    </row>
    <row r="308" spans="2:6" ht="15.75" customHeight="1" x14ac:dyDescent="0.15">
      <c r="B308" s="20"/>
      <c r="E308" s="20"/>
      <c r="F308" s="23"/>
    </row>
    <row r="309" spans="2:6" ht="15.75" customHeight="1" x14ac:dyDescent="0.15">
      <c r="B309" s="20"/>
      <c r="E309" s="20"/>
      <c r="F309" s="23"/>
    </row>
    <row r="310" spans="2:6" ht="15.75" customHeight="1" x14ac:dyDescent="0.15">
      <c r="B310" s="20"/>
      <c r="E310" s="20"/>
      <c r="F310" s="23"/>
    </row>
    <row r="311" spans="2:6" ht="15.75" customHeight="1" x14ac:dyDescent="0.15">
      <c r="B311" s="20"/>
      <c r="E311" s="20"/>
      <c r="F311" s="23"/>
    </row>
    <row r="312" spans="2:6" ht="15.75" customHeight="1" x14ac:dyDescent="0.15">
      <c r="B312" s="20"/>
      <c r="E312" s="20"/>
      <c r="F312" s="23"/>
    </row>
    <row r="313" spans="2:6" ht="15.75" customHeight="1" x14ac:dyDescent="0.15">
      <c r="B313" s="20"/>
      <c r="E313" s="20"/>
      <c r="F313" s="23"/>
    </row>
    <row r="314" spans="2:6" ht="15.75" customHeight="1" x14ac:dyDescent="0.15">
      <c r="B314" s="20"/>
      <c r="E314" s="20"/>
      <c r="F314" s="23"/>
    </row>
    <row r="315" spans="2:6" ht="15.75" customHeight="1" x14ac:dyDescent="0.15">
      <c r="B315" s="20"/>
      <c r="E315" s="20"/>
      <c r="F315" s="23"/>
    </row>
    <row r="316" spans="2:6" ht="15.75" customHeight="1" x14ac:dyDescent="0.15">
      <c r="B316" s="20"/>
      <c r="E316" s="20"/>
      <c r="F316" s="23"/>
    </row>
    <row r="317" spans="2:6" ht="15.75" customHeight="1" x14ac:dyDescent="0.15">
      <c r="B317" s="20"/>
      <c r="E317" s="20"/>
      <c r="F317" s="23"/>
    </row>
    <row r="318" spans="2:6" ht="15.75" customHeight="1" x14ac:dyDescent="0.15">
      <c r="B318" s="20"/>
      <c r="E318" s="20"/>
      <c r="F318" s="23"/>
    </row>
    <row r="319" spans="2:6" ht="15.75" customHeight="1" x14ac:dyDescent="0.15">
      <c r="B319" s="20"/>
      <c r="E319" s="20"/>
      <c r="F319" s="23"/>
    </row>
    <row r="320" spans="2:6" ht="15.75" customHeight="1" x14ac:dyDescent="0.15">
      <c r="B320" s="20"/>
      <c r="E320" s="20"/>
      <c r="F320" s="23"/>
    </row>
    <row r="321" spans="2:6" ht="15.75" customHeight="1" x14ac:dyDescent="0.15">
      <c r="B321" s="20"/>
      <c r="E321" s="20"/>
      <c r="F321" s="23"/>
    </row>
    <row r="322" spans="2:6" ht="15.75" customHeight="1" x14ac:dyDescent="0.15">
      <c r="B322" s="20"/>
      <c r="E322" s="20"/>
      <c r="F322" s="23"/>
    </row>
    <row r="323" spans="2:6" ht="15.75" customHeight="1" x14ac:dyDescent="0.15">
      <c r="B323" s="20"/>
      <c r="E323" s="20"/>
      <c r="F323" s="23"/>
    </row>
    <row r="324" spans="2:6" ht="15.75" customHeight="1" x14ac:dyDescent="0.15">
      <c r="B324" s="20"/>
      <c r="E324" s="20"/>
      <c r="F324" s="23"/>
    </row>
    <row r="325" spans="2:6" ht="15.75" customHeight="1" x14ac:dyDescent="0.15">
      <c r="B325" s="20"/>
      <c r="E325" s="20"/>
      <c r="F325" s="23"/>
    </row>
    <row r="326" spans="2:6" ht="15.75" customHeight="1" x14ac:dyDescent="0.15">
      <c r="B326" s="20"/>
      <c r="E326" s="20"/>
      <c r="F326" s="23"/>
    </row>
    <row r="327" spans="2:6" ht="15.75" customHeight="1" x14ac:dyDescent="0.15">
      <c r="B327" s="20"/>
      <c r="E327" s="20"/>
      <c r="F327" s="23"/>
    </row>
    <row r="328" spans="2:6" ht="15.75" customHeight="1" x14ac:dyDescent="0.15">
      <c r="B328" s="20"/>
      <c r="E328" s="20"/>
      <c r="F328" s="23"/>
    </row>
    <row r="329" spans="2:6" ht="15.75" customHeight="1" x14ac:dyDescent="0.15">
      <c r="B329" s="20"/>
      <c r="E329" s="20"/>
      <c r="F329" s="23"/>
    </row>
    <row r="330" spans="2:6" ht="15.75" customHeight="1" x14ac:dyDescent="0.15">
      <c r="B330" s="20"/>
      <c r="E330" s="20"/>
      <c r="F330" s="23"/>
    </row>
    <row r="331" spans="2:6" ht="15.75" customHeight="1" x14ac:dyDescent="0.15">
      <c r="B331" s="20"/>
      <c r="E331" s="20"/>
      <c r="F331" s="23"/>
    </row>
    <row r="332" spans="2:6" ht="15.75" customHeight="1" x14ac:dyDescent="0.15">
      <c r="B332" s="20"/>
      <c r="E332" s="20"/>
      <c r="F332" s="23"/>
    </row>
    <row r="333" spans="2:6" ht="15.75" customHeight="1" x14ac:dyDescent="0.15">
      <c r="B333" s="20"/>
      <c r="E333" s="20"/>
      <c r="F333" s="23"/>
    </row>
    <row r="334" spans="2:6" ht="15.75" customHeight="1" x14ac:dyDescent="0.15">
      <c r="B334" s="20"/>
      <c r="E334" s="20"/>
      <c r="F334" s="23"/>
    </row>
    <row r="335" spans="2:6" ht="15.75" customHeight="1" x14ac:dyDescent="0.15">
      <c r="B335" s="20"/>
      <c r="E335" s="20"/>
      <c r="F335" s="23"/>
    </row>
    <row r="336" spans="2:6" ht="15.75" customHeight="1" x14ac:dyDescent="0.15">
      <c r="B336" s="20"/>
      <c r="E336" s="20"/>
      <c r="F336" s="23"/>
    </row>
    <row r="337" spans="2:6" ht="15.75" customHeight="1" x14ac:dyDescent="0.15">
      <c r="B337" s="20"/>
      <c r="E337" s="20"/>
      <c r="F337" s="23"/>
    </row>
    <row r="338" spans="2:6" ht="15.75" customHeight="1" x14ac:dyDescent="0.15">
      <c r="B338" s="20"/>
      <c r="E338" s="20"/>
      <c r="F338" s="23"/>
    </row>
    <row r="339" spans="2:6" ht="15.75" customHeight="1" x14ac:dyDescent="0.15">
      <c r="B339" s="20"/>
      <c r="E339" s="20"/>
      <c r="F339" s="23"/>
    </row>
    <row r="340" spans="2:6" ht="15.75" customHeight="1" x14ac:dyDescent="0.15">
      <c r="B340" s="20"/>
      <c r="E340" s="20"/>
      <c r="F340" s="23"/>
    </row>
    <row r="341" spans="2:6" ht="15.75" customHeight="1" x14ac:dyDescent="0.15">
      <c r="B341" s="20"/>
      <c r="E341" s="20"/>
      <c r="F341" s="23"/>
    </row>
    <row r="342" spans="2:6" ht="15.75" customHeight="1" x14ac:dyDescent="0.15">
      <c r="B342" s="20"/>
      <c r="E342" s="20"/>
      <c r="F342" s="23"/>
    </row>
    <row r="343" spans="2:6" ht="15.75" customHeight="1" x14ac:dyDescent="0.15">
      <c r="B343" s="20"/>
      <c r="E343" s="20"/>
      <c r="F343" s="23"/>
    </row>
    <row r="344" spans="2:6" ht="15.75" customHeight="1" x14ac:dyDescent="0.15">
      <c r="B344" s="20"/>
      <c r="E344" s="20"/>
      <c r="F344" s="23"/>
    </row>
    <row r="345" spans="2:6" ht="15.75" customHeight="1" x14ac:dyDescent="0.15">
      <c r="B345" s="20"/>
      <c r="E345" s="20"/>
      <c r="F345" s="23"/>
    </row>
    <row r="346" spans="2:6" ht="15.75" customHeight="1" x14ac:dyDescent="0.15">
      <c r="B346" s="20"/>
      <c r="E346" s="20"/>
      <c r="F346" s="23"/>
    </row>
    <row r="347" spans="2:6" ht="15.75" customHeight="1" x14ac:dyDescent="0.15">
      <c r="B347" s="20"/>
      <c r="E347" s="20"/>
      <c r="F347" s="23"/>
    </row>
    <row r="348" spans="2:6" ht="15.75" customHeight="1" x14ac:dyDescent="0.15">
      <c r="B348" s="20"/>
      <c r="E348" s="20"/>
      <c r="F348" s="23"/>
    </row>
    <row r="349" spans="2:6" ht="15.75" customHeight="1" x14ac:dyDescent="0.15">
      <c r="B349" s="20"/>
      <c r="E349" s="20"/>
      <c r="F349" s="23"/>
    </row>
    <row r="350" spans="2:6" ht="15.75" customHeight="1" x14ac:dyDescent="0.15">
      <c r="B350" s="20"/>
      <c r="E350" s="20"/>
      <c r="F350" s="23"/>
    </row>
    <row r="351" spans="2:6" ht="15.75" customHeight="1" x14ac:dyDescent="0.15">
      <c r="B351" s="20"/>
      <c r="E351" s="20"/>
      <c r="F351" s="23"/>
    </row>
    <row r="352" spans="2:6" ht="15.75" customHeight="1" x14ac:dyDescent="0.15">
      <c r="B352" s="20"/>
      <c r="E352" s="20"/>
      <c r="F352" s="23"/>
    </row>
    <row r="353" spans="2:6" ht="15.75" customHeight="1" x14ac:dyDescent="0.15">
      <c r="B353" s="20"/>
      <c r="E353" s="20"/>
      <c r="F353" s="23"/>
    </row>
    <row r="354" spans="2:6" ht="15.75" customHeight="1" x14ac:dyDescent="0.15">
      <c r="B354" s="20"/>
      <c r="E354" s="20"/>
      <c r="F354" s="23"/>
    </row>
    <row r="355" spans="2:6" ht="15.75" customHeight="1" x14ac:dyDescent="0.15">
      <c r="B355" s="20"/>
      <c r="E355" s="20"/>
      <c r="F355" s="23"/>
    </row>
    <row r="356" spans="2:6" ht="15.75" customHeight="1" x14ac:dyDescent="0.15">
      <c r="B356" s="20"/>
      <c r="E356" s="20"/>
      <c r="F356" s="23"/>
    </row>
    <row r="357" spans="2:6" ht="15.75" customHeight="1" x14ac:dyDescent="0.15">
      <c r="B357" s="20"/>
      <c r="E357" s="20"/>
      <c r="F357" s="23"/>
    </row>
    <row r="358" spans="2:6" ht="15.75" customHeight="1" x14ac:dyDescent="0.15">
      <c r="B358" s="20"/>
      <c r="E358" s="20"/>
      <c r="F358" s="23"/>
    </row>
    <row r="359" spans="2:6" ht="15.75" customHeight="1" x14ac:dyDescent="0.15">
      <c r="B359" s="20"/>
      <c r="E359" s="20"/>
      <c r="F359" s="23"/>
    </row>
    <row r="360" spans="2:6" ht="15.75" customHeight="1" x14ac:dyDescent="0.15">
      <c r="B360" s="20"/>
      <c r="E360" s="20"/>
      <c r="F360" s="23"/>
    </row>
    <row r="361" spans="2:6" ht="15.75" customHeight="1" x14ac:dyDescent="0.15">
      <c r="B361" s="20"/>
      <c r="E361" s="20"/>
      <c r="F361" s="23"/>
    </row>
    <row r="362" spans="2:6" ht="15.75" customHeight="1" x14ac:dyDescent="0.15">
      <c r="B362" s="20"/>
      <c r="E362" s="20"/>
      <c r="F362" s="23"/>
    </row>
    <row r="363" spans="2:6" ht="15.75" customHeight="1" x14ac:dyDescent="0.15">
      <c r="B363" s="20"/>
      <c r="E363" s="20"/>
      <c r="F363" s="23"/>
    </row>
    <row r="364" spans="2:6" ht="15.75" customHeight="1" x14ac:dyDescent="0.15">
      <c r="B364" s="20"/>
      <c r="E364" s="20"/>
      <c r="F364" s="23"/>
    </row>
    <row r="365" spans="2:6" ht="15.75" customHeight="1" x14ac:dyDescent="0.15">
      <c r="B365" s="20"/>
      <c r="E365" s="20"/>
      <c r="F365" s="23"/>
    </row>
    <row r="366" spans="2:6" ht="15.75" customHeight="1" x14ac:dyDescent="0.15">
      <c r="B366" s="20"/>
      <c r="E366" s="20"/>
      <c r="F366" s="23"/>
    </row>
    <row r="367" spans="2:6" ht="15.75" customHeight="1" x14ac:dyDescent="0.15">
      <c r="B367" s="20"/>
      <c r="E367" s="20"/>
      <c r="F367" s="23"/>
    </row>
    <row r="368" spans="2:6" ht="15.75" customHeight="1" x14ac:dyDescent="0.15">
      <c r="B368" s="20"/>
      <c r="E368" s="20"/>
      <c r="F368" s="23"/>
    </row>
    <row r="369" spans="2:6" ht="15.75" customHeight="1" x14ac:dyDescent="0.15">
      <c r="B369" s="20"/>
      <c r="E369" s="20"/>
      <c r="F369" s="23"/>
    </row>
    <row r="370" spans="2:6" ht="15.75" customHeight="1" x14ac:dyDescent="0.15">
      <c r="B370" s="20"/>
      <c r="E370" s="20"/>
      <c r="F370" s="23"/>
    </row>
    <row r="371" spans="2:6" ht="15.75" customHeight="1" x14ac:dyDescent="0.15">
      <c r="B371" s="20"/>
      <c r="E371" s="20"/>
      <c r="F371" s="23"/>
    </row>
    <row r="372" spans="2:6" ht="15.75" customHeight="1" x14ac:dyDescent="0.15">
      <c r="B372" s="20"/>
      <c r="E372" s="20"/>
      <c r="F372" s="23"/>
    </row>
    <row r="373" spans="2:6" ht="15.75" customHeight="1" x14ac:dyDescent="0.15">
      <c r="B373" s="20"/>
      <c r="E373" s="20"/>
      <c r="F373" s="23"/>
    </row>
    <row r="374" spans="2:6" ht="15.75" customHeight="1" x14ac:dyDescent="0.15">
      <c r="B374" s="20"/>
      <c r="E374" s="20"/>
      <c r="F374" s="23"/>
    </row>
    <row r="375" spans="2:6" ht="15.75" customHeight="1" x14ac:dyDescent="0.15">
      <c r="B375" s="20"/>
      <c r="E375" s="20"/>
      <c r="F375" s="23"/>
    </row>
    <row r="376" spans="2:6" ht="15.75" customHeight="1" x14ac:dyDescent="0.15">
      <c r="B376" s="20"/>
      <c r="E376" s="20"/>
      <c r="F376" s="23"/>
    </row>
    <row r="377" spans="2:6" ht="15.75" customHeight="1" x14ac:dyDescent="0.15">
      <c r="B377" s="20"/>
      <c r="E377" s="20"/>
      <c r="F377" s="23"/>
    </row>
    <row r="378" spans="2:6" ht="15.75" customHeight="1" x14ac:dyDescent="0.15">
      <c r="B378" s="20"/>
      <c r="E378" s="20"/>
      <c r="F378" s="23"/>
    </row>
    <row r="379" spans="2:6" ht="15.75" customHeight="1" x14ac:dyDescent="0.15">
      <c r="B379" s="20"/>
      <c r="E379" s="20"/>
      <c r="F379" s="23"/>
    </row>
    <row r="380" spans="2:6" ht="15.75" customHeight="1" x14ac:dyDescent="0.15">
      <c r="B380" s="20"/>
      <c r="E380" s="20"/>
      <c r="F380" s="23"/>
    </row>
    <row r="381" spans="2:6" ht="15.75" customHeight="1" x14ac:dyDescent="0.15">
      <c r="B381" s="20"/>
      <c r="E381" s="20"/>
      <c r="F381" s="23"/>
    </row>
    <row r="382" spans="2:6" ht="15.75" customHeight="1" x14ac:dyDescent="0.15">
      <c r="B382" s="20"/>
      <c r="E382" s="20"/>
      <c r="F382" s="23"/>
    </row>
    <row r="383" spans="2:6" ht="15.75" customHeight="1" x14ac:dyDescent="0.15">
      <c r="B383" s="20"/>
      <c r="E383" s="20"/>
      <c r="F383" s="23"/>
    </row>
    <row r="384" spans="2:6" ht="15.75" customHeight="1" x14ac:dyDescent="0.15">
      <c r="B384" s="20"/>
      <c r="E384" s="20"/>
      <c r="F384" s="23"/>
    </row>
    <row r="385" spans="2:6" ht="15.75" customHeight="1" x14ac:dyDescent="0.15">
      <c r="B385" s="20"/>
      <c r="E385" s="20"/>
      <c r="F385" s="23"/>
    </row>
    <row r="386" spans="2:6" ht="15.75" customHeight="1" x14ac:dyDescent="0.15">
      <c r="B386" s="20"/>
      <c r="E386" s="20"/>
      <c r="F386" s="23"/>
    </row>
    <row r="387" spans="2:6" ht="15.75" customHeight="1" x14ac:dyDescent="0.15">
      <c r="B387" s="20"/>
      <c r="E387" s="20"/>
      <c r="F387" s="23"/>
    </row>
    <row r="388" spans="2:6" ht="15.75" customHeight="1" x14ac:dyDescent="0.15">
      <c r="B388" s="20"/>
      <c r="E388" s="20"/>
      <c r="F388" s="23"/>
    </row>
    <row r="389" spans="2:6" ht="15.75" customHeight="1" x14ac:dyDescent="0.15">
      <c r="B389" s="20"/>
      <c r="E389" s="20"/>
      <c r="F389" s="23"/>
    </row>
    <row r="390" spans="2:6" ht="15.75" customHeight="1" x14ac:dyDescent="0.15">
      <c r="B390" s="20"/>
      <c r="E390" s="20"/>
      <c r="F390" s="23"/>
    </row>
    <row r="391" spans="2:6" ht="15.75" customHeight="1" x14ac:dyDescent="0.15">
      <c r="B391" s="20"/>
      <c r="E391" s="20"/>
      <c r="F391" s="23"/>
    </row>
    <row r="392" spans="2:6" ht="15.75" customHeight="1" x14ac:dyDescent="0.15">
      <c r="B392" s="20"/>
      <c r="E392" s="20"/>
      <c r="F392" s="23"/>
    </row>
    <row r="393" spans="2:6" ht="15.75" customHeight="1" x14ac:dyDescent="0.15">
      <c r="B393" s="20"/>
      <c r="E393" s="20"/>
      <c r="F393" s="23"/>
    </row>
    <row r="394" spans="2:6" ht="15.75" customHeight="1" x14ac:dyDescent="0.15">
      <c r="B394" s="20"/>
      <c r="E394" s="20"/>
      <c r="F394" s="23"/>
    </row>
    <row r="395" spans="2:6" ht="15.75" customHeight="1" x14ac:dyDescent="0.15">
      <c r="B395" s="20"/>
      <c r="E395" s="20"/>
      <c r="F395" s="23"/>
    </row>
    <row r="396" spans="2:6" ht="15.75" customHeight="1" x14ac:dyDescent="0.15">
      <c r="B396" s="20"/>
      <c r="E396" s="20"/>
      <c r="F396" s="23"/>
    </row>
    <row r="397" spans="2:6" ht="15.75" customHeight="1" x14ac:dyDescent="0.15">
      <c r="B397" s="20"/>
      <c r="E397" s="20"/>
      <c r="F397" s="23"/>
    </row>
    <row r="398" spans="2:6" ht="15.75" customHeight="1" x14ac:dyDescent="0.15">
      <c r="B398" s="20"/>
      <c r="E398" s="20"/>
      <c r="F398" s="23"/>
    </row>
    <row r="399" spans="2:6" ht="15.75" customHeight="1" x14ac:dyDescent="0.15">
      <c r="B399" s="20"/>
      <c r="E399" s="20"/>
      <c r="F399" s="23"/>
    </row>
    <row r="400" spans="2:6" ht="15.75" customHeight="1" x14ac:dyDescent="0.15">
      <c r="B400" s="20"/>
      <c r="E400" s="20"/>
      <c r="F400" s="23"/>
    </row>
    <row r="401" spans="2:6" ht="15.75" customHeight="1" x14ac:dyDescent="0.15">
      <c r="B401" s="20"/>
      <c r="E401" s="20"/>
      <c r="F401" s="23"/>
    </row>
    <row r="402" spans="2:6" ht="15.75" customHeight="1" x14ac:dyDescent="0.15">
      <c r="B402" s="20"/>
      <c r="E402" s="20"/>
      <c r="F402" s="23"/>
    </row>
    <row r="403" spans="2:6" ht="15.75" customHeight="1" x14ac:dyDescent="0.15">
      <c r="B403" s="20"/>
      <c r="E403" s="20"/>
      <c r="F403" s="23"/>
    </row>
    <row r="404" spans="2:6" ht="15.75" customHeight="1" x14ac:dyDescent="0.15">
      <c r="B404" s="20"/>
      <c r="E404" s="20"/>
      <c r="F404" s="23"/>
    </row>
    <row r="405" spans="2:6" ht="15.75" customHeight="1" x14ac:dyDescent="0.15">
      <c r="B405" s="20"/>
      <c r="E405" s="20"/>
      <c r="F405" s="23"/>
    </row>
    <row r="406" spans="2:6" ht="15.75" customHeight="1" x14ac:dyDescent="0.15">
      <c r="B406" s="20"/>
      <c r="E406" s="20"/>
      <c r="F406" s="23"/>
    </row>
    <row r="407" spans="2:6" ht="15.75" customHeight="1" x14ac:dyDescent="0.15">
      <c r="B407" s="20"/>
      <c r="E407" s="20"/>
      <c r="F407" s="23"/>
    </row>
    <row r="408" spans="2:6" ht="15.75" customHeight="1" x14ac:dyDescent="0.15">
      <c r="B408" s="20"/>
      <c r="E408" s="20"/>
      <c r="F408" s="23"/>
    </row>
    <row r="409" spans="2:6" ht="15.75" customHeight="1" x14ac:dyDescent="0.15">
      <c r="B409" s="20"/>
      <c r="E409" s="20"/>
      <c r="F409" s="23"/>
    </row>
    <row r="410" spans="2:6" ht="15.75" customHeight="1" x14ac:dyDescent="0.15">
      <c r="B410" s="20"/>
      <c r="E410" s="20"/>
      <c r="F410" s="23"/>
    </row>
    <row r="411" spans="2:6" ht="15.75" customHeight="1" x14ac:dyDescent="0.15">
      <c r="B411" s="20"/>
      <c r="E411" s="20"/>
      <c r="F411" s="23"/>
    </row>
    <row r="412" spans="2:6" ht="15.75" customHeight="1" x14ac:dyDescent="0.15">
      <c r="B412" s="20"/>
      <c r="E412" s="20"/>
      <c r="F412" s="23"/>
    </row>
    <row r="413" spans="2:6" ht="15.75" customHeight="1" x14ac:dyDescent="0.15">
      <c r="B413" s="20"/>
      <c r="E413" s="20"/>
      <c r="F413" s="23"/>
    </row>
    <row r="414" spans="2:6" ht="15.75" customHeight="1" x14ac:dyDescent="0.15">
      <c r="B414" s="20"/>
      <c r="E414" s="20"/>
      <c r="F414" s="23"/>
    </row>
    <row r="415" spans="2:6" ht="15.75" customHeight="1" x14ac:dyDescent="0.15">
      <c r="B415" s="20"/>
      <c r="E415" s="20"/>
      <c r="F415" s="23"/>
    </row>
    <row r="416" spans="2:6" ht="15.75" customHeight="1" x14ac:dyDescent="0.15">
      <c r="B416" s="20"/>
      <c r="E416" s="20"/>
      <c r="F416" s="23"/>
    </row>
    <row r="417" spans="2:6" ht="15.75" customHeight="1" x14ac:dyDescent="0.15">
      <c r="B417" s="20"/>
      <c r="E417" s="20"/>
      <c r="F417" s="23"/>
    </row>
    <row r="418" spans="2:6" ht="15.75" customHeight="1" x14ac:dyDescent="0.15">
      <c r="B418" s="20"/>
      <c r="E418" s="20"/>
      <c r="F418" s="23"/>
    </row>
    <row r="419" spans="2:6" ht="15.75" customHeight="1" x14ac:dyDescent="0.15">
      <c r="B419" s="20"/>
      <c r="E419" s="20"/>
      <c r="F419" s="23"/>
    </row>
    <row r="420" spans="2:6" ht="15.75" customHeight="1" x14ac:dyDescent="0.15">
      <c r="B420" s="20"/>
      <c r="E420" s="20"/>
      <c r="F420" s="23"/>
    </row>
    <row r="421" spans="2:6" ht="15.75" customHeight="1" x14ac:dyDescent="0.15">
      <c r="B421" s="20"/>
      <c r="E421" s="20"/>
      <c r="F421" s="23"/>
    </row>
    <row r="422" spans="2:6" ht="15.75" customHeight="1" x14ac:dyDescent="0.15">
      <c r="B422" s="20"/>
      <c r="E422" s="20"/>
      <c r="F422" s="23"/>
    </row>
    <row r="423" spans="2:6" ht="15.75" customHeight="1" x14ac:dyDescent="0.15">
      <c r="B423" s="20"/>
      <c r="E423" s="20"/>
      <c r="F423" s="23"/>
    </row>
    <row r="424" spans="2:6" ht="15.75" customHeight="1" x14ac:dyDescent="0.15">
      <c r="B424" s="20"/>
      <c r="E424" s="20"/>
      <c r="F424" s="23"/>
    </row>
    <row r="425" spans="2:6" ht="15.75" customHeight="1" x14ac:dyDescent="0.15">
      <c r="B425" s="20"/>
      <c r="E425" s="20"/>
      <c r="F425" s="23"/>
    </row>
    <row r="426" spans="2:6" ht="15.75" customHeight="1" x14ac:dyDescent="0.15">
      <c r="B426" s="20"/>
      <c r="E426" s="20"/>
      <c r="F426" s="23"/>
    </row>
    <row r="427" spans="2:6" ht="15.75" customHeight="1" x14ac:dyDescent="0.15">
      <c r="B427" s="20"/>
      <c r="E427" s="20"/>
      <c r="F427" s="23"/>
    </row>
    <row r="428" spans="2:6" ht="15.75" customHeight="1" x14ac:dyDescent="0.15">
      <c r="B428" s="20"/>
      <c r="E428" s="20"/>
      <c r="F428" s="23"/>
    </row>
    <row r="429" spans="2:6" ht="15.75" customHeight="1" x14ac:dyDescent="0.15">
      <c r="B429" s="20"/>
      <c r="E429" s="20"/>
      <c r="F429" s="23"/>
    </row>
    <row r="430" spans="2:6" ht="15.75" customHeight="1" x14ac:dyDescent="0.15">
      <c r="B430" s="20"/>
      <c r="E430" s="20"/>
      <c r="F430" s="23"/>
    </row>
    <row r="431" spans="2:6" ht="15.75" customHeight="1" x14ac:dyDescent="0.15">
      <c r="B431" s="20"/>
      <c r="E431" s="20"/>
      <c r="F431" s="23"/>
    </row>
    <row r="432" spans="2:6" ht="15.75" customHeight="1" x14ac:dyDescent="0.15">
      <c r="B432" s="20"/>
      <c r="E432" s="20"/>
      <c r="F432" s="23"/>
    </row>
    <row r="433" spans="2:6" ht="15.75" customHeight="1" x14ac:dyDescent="0.15">
      <c r="B433" s="20"/>
      <c r="E433" s="20"/>
      <c r="F433" s="23"/>
    </row>
    <row r="434" spans="2:6" ht="15.75" customHeight="1" x14ac:dyDescent="0.15">
      <c r="B434" s="20"/>
      <c r="E434" s="20"/>
      <c r="F434" s="23"/>
    </row>
    <row r="435" spans="2:6" ht="15.75" customHeight="1" x14ac:dyDescent="0.15">
      <c r="B435" s="20"/>
      <c r="E435" s="20"/>
      <c r="F435" s="23"/>
    </row>
    <row r="436" spans="2:6" ht="15.75" customHeight="1" x14ac:dyDescent="0.15">
      <c r="B436" s="20"/>
      <c r="E436" s="20"/>
      <c r="F436" s="23"/>
    </row>
    <row r="437" spans="2:6" ht="15.75" customHeight="1" x14ac:dyDescent="0.15">
      <c r="B437" s="20"/>
      <c r="E437" s="20"/>
      <c r="F437" s="23"/>
    </row>
    <row r="438" spans="2:6" ht="15.75" customHeight="1" x14ac:dyDescent="0.15">
      <c r="B438" s="20"/>
      <c r="E438" s="20"/>
      <c r="F438" s="23"/>
    </row>
    <row r="439" spans="2:6" ht="15.75" customHeight="1" x14ac:dyDescent="0.15">
      <c r="B439" s="20"/>
      <c r="E439" s="20"/>
      <c r="F439" s="23"/>
    </row>
    <row r="440" spans="2:6" ht="15.75" customHeight="1" x14ac:dyDescent="0.15">
      <c r="B440" s="20"/>
      <c r="E440" s="20"/>
      <c r="F440" s="23"/>
    </row>
    <row r="441" spans="2:6" ht="15.75" customHeight="1" x14ac:dyDescent="0.15">
      <c r="B441" s="20"/>
      <c r="E441" s="20"/>
      <c r="F441" s="23"/>
    </row>
    <row r="442" spans="2:6" ht="15.75" customHeight="1" x14ac:dyDescent="0.15">
      <c r="B442" s="20"/>
      <c r="E442" s="20"/>
      <c r="F442" s="23"/>
    </row>
    <row r="443" spans="2:6" ht="15.75" customHeight="1" x14ac:dyDescent="0.15">
      <c r="B443" s="20"/>
      <c r="E443" s="20"/>
      <c r="F443" s="23"/>
    </row>
    <row r="444" spans="2:6" ht="15.75" customHeight="1" x14ac:dyDescent="0.15">
      <c r="B444" s="20"/>
      <c r="E444" s="20"/>
      <c r="F444" s="23"/>
    </row>
    <row r="445" spans="2:6" ht="15.75" customHeight="1" x14ac:dyDescent="0.15">
      <c r="B445" s="20"/>
      <c r="E445" s="20"/>
      <c r="F445" s="23"/>
    </row>
    <row r="446" spans="2:6" ht="15.75" customHeight="1" x14ac:dyDescent="0.15">
      <c r="B446" s="20"/>
      <c r="E446" s="20"/>
      <c r="F446" s="23"/>
    </row>
    <row r="447" spans="2:6" ht="15.75" customHeight="1" x14ac:dyDescent="0.15">
      <c r="B447" s="20"/>
      <c r="E447" s="20"/>
      <c r="F447" s="23"/>
    </row>
    <row r="448" spans="2:6" ht="15.75" customHeight="1" x14ac:dyDescent="0.15">
      <c r="B448" s="20"/>
      <c r="E448" s="20"/>
      <c r="F448" s="23"/>
    </row>
    <row r="449" spans="2:6" ht="15.75" customHeight="1" x14ac:dyDescent="0.15">
      <c r="B449" s="20"/>
      <c r="E449" s="20"/>
      <c r="F449" s="23"/>
    </row>
    <row r="450" spans="2:6" ht="15.75" customHeight="1" x14ac:dyDescent="0.15">
      <c r="B450" s="20"/>
      <c r="E450" s="20"/>
      <c r="F450" s="23"/>
    </row>
    <row r="451" spans="2:6" ht="15.75" customHeight="1" x14ac:dyDescent="0.15">
      <c r="B451" s="20"/>
      <c r="E451" s="20"/>
      <c r="F451" s="23"/>
    </row>
    <row r="452" spans="2:6" ht="15.75" customHeight="1" x14ac:dyDescent="0.15">
      <c r="B452" s="20"/>
      <c r="E452" s="20"/>
      <c r="F452" s="23"/>
    </row>
    <row r="453" spans="2:6" ht="15.75" customHeight="1" x14ac:dyDescent="0.15">
      <c r="B453" s="20"/>
      <c r="E453" s="20"/>
      <c r="F453" s="23"/>
    </row>
    <row r="454" spans="2:6" ht="15.75" customHeight="1" x14ac:dyDescent="0.15">
      <c r="B454" s="20"/>
      <c r="E454" s="20"/>
      <c r="F454" s="23"/>
    </row>
    <row r="455" spans="2:6" ht="15.75" customHeight="1" x14ac:dyDescent="0.15">
      <c r="B455" s="20"/>
      <c r="E455" s="20"/>
      <c r="F455" s="23"/>
    </row>
    <row r="456" spans="2:6" ht="15.75" customHeight="1" x14ac:dyDescent="0.15">
      <c r="B456" s="20"/>
      <c r="E456" s="20"/>
      <c r="F456" s="23"/>
    </row>
    <row r="457" spans="2:6" ht="15.75" customHeight="1" x14ac:dyDescent="0.15">
      <c r="B457" s="20"/>
      <c r="E457" s="20"/>
      <c r="F457" s="23"/>
    </row>
    <row r="458" spans="2:6" ht="15.75" customHeight="1" x14ac:dyDescent="0.15">
      <c r="B458" s="20"/>
      <c r="E458" s="20"/>
      <c r="F458" s="23"/>
    </row>
    <row r="459" spans="2:6" ht="15.75" customHeight="1" x14ac:dyDescent="0.15">
      <c r="B459" s="20"/>
      <c r="E459" s="20"/>
      <c r="F459" s="23"/>
    </row>
    <row r="460" spans="2:6" ht="15.75" customHeight="1" x14ac:dyDescent="0.15">
      <c r="B460" s="20"/>
      <c r="E460" s="20"/>
      <c r="F460" s="23"/>
    </row>
    <row r="461" spans="2:6" ht="15.75" customHeight="1" x14ac:dyDescent="0.15">
      <c r="B461" s="20"/>
      <c r="E461" s="20"/>
      <c r="F461" s="23"/>
    </row>
    <row r="462" spans="2:6" ht="15.75" customHeight="1" x14ac:dyDescent="0.15">
      <c r="B462" s="20"/>
      <c r="E462" s="20"/>
      <c r="F462" s="23"/>
    </row>
    <row r="463" spans="2:6" ht="15.75" customHeight="1" x14ac:dyDescent="0.15">
      <c r="B463" s="20"/>
      <c r="E463" s="20"/>
      <c r="F463" s="23"/>
    </row>
    <row r="464" spans="2:6" ht="15.75" customHeight="1" x14ac:dyDescent="0.15">
      <c r="B464" s="20"/>
      <c r="E464" s="20"/>
      <c r="F464" s="23"/>
    </row>
    <row r="465" spans="2:6" ht="15.75" customHeight="1" x14ac:dyDescent="0.15">
      <c r="B465" s="20"/>
      <c r="E465" s="20"/>
      <c r="F465" s="23"/>
    </row>
    <row r="466" spans="2:6" ht="15.75" customHeight="1" x14ac:dyDescent="0.15">
      <c r="B466" s="20"/>
      <c r="E466" s="20"/>
      <c r="F466" s="23"/>
    </row>
    <row r="467" spans="2:6" ht="15.75" customHeight="1" x14ac:dyDescent="0.15">
      <c r="B467" s="20"/>
      <c r="E467" s="20"/>
      <c r="F467" s="23"/>
    </row>
    <row r="468" spans="2:6" ht="15.75" customHeight="1" x14ac:dyDescent="0.15">
      <c r="B468" s="20"/>
      <c r="E468" s="20"/>
      <c r="F468" s="23"/>
    </row>
    <row r="469" spans="2:6" ht="15.75" customHeight="1" x14ac:dyDescent="0.15">
      <c r="B469" s="20"/>
      <c r="E469" s="20"/>
      <c r="F469" s="23"/>
    </row>
    <row r="470" spans="2:6" ht="15.75" customHeight="1" x14ac:dyDescent="0.15">
      <c r="B470" s="20"/>
      <c r="E470" s="20"/>
      <c r="F470" s="23"/>
    </row>
    <row r="471" spans="2:6" ht="15.75" customHeight="1" x14ac:dyDescent="0.15">
      <c r="B471" s="20"/>
      <c r="E471" s="20"/>
      <c r="F471" s="23"/>
    </row>
    <row r="472" spans="2:6" ht="15.75" customHeight="1" x14ac:dyDescent="0.15">
      <c r="B472" s="20"/>
      <c r="E472" s="20"/>
      <c r="F472" s="23"/>
    </row>
    <row r="473" spans="2:6" ht="15.75" customHeight="1" x14ac:dyDescent="0.15">
      <c r="B473" s="20"/>
      <c r="E473" s="20"/>
      <c r="F473" s="23"/>
    </row>
    <row r="474" spans="2:6" ht="15.75" customHeight="1" x14ac:dyDescent="0.15">
      <c r="B474" s="20"/>
      <c r="E474" s="20"/>
      <c r="F474" s="23"/>
    </row>
    <row r="475" spans="2:6" ht="15.75" customHeight="1" x14ac:dyDescent="0.15">
      <c r="B475" s="20"/>
      <c r="E475" s="20"/>
      <c r="F475" s="23"/>
    </row>
    <row r="476" spans="2:6" ht="15.75" customHeight="1" x14ac:dyDescent="0.15">
      <c r="B476" s="20"/>
      <c r="E476" s="20"/>
      <c r="F476" s="23"/>
    </row>
    <row r="477" spans="2:6" ht="15.75" customHeight="1" x14ac:dyDescent="0.15">
      <c r="B477" s="20"/>
      <c r="E477" s="20"/>
      <c r="F477" s="23"/>
    </row>
    <row r="478" spans="2:6" ht="15.75" customHeight="1" x14ac:dyDescent="0.15">
      <c r="B478" s="20"/>
      <c r="E478" s="20"/>
      <c r="F478" s="23"/>
    </row>
    <row r="479" spans="2:6" ht="15.75" customHeight="1" x14ac:dyDescent="0.15">
      <c r="B479" s="20"/>
      <c r="E479" s="20"/>
      <c r="F479" s="23"/>
    </row>
    <row r="480" spans="2:6" ht="15.75" customHeight="1" x14ac:dyDescent="0.15">
      <c r="B480" s="20"/>
      <c r="E480" s="20"/>
      <c r="F480" s="23"/>
    </row>
    <row r="481" spans="2:6" ht="15.75" customHeight="1" x14ac:dyDescent="0.15">
      <c r="B481" s="20"/>
      <c r="E481" s="20"/>
      <c r="F481" s="23"/>
    </row>
    <row r="482" spans="2:6" ht="15.75" customHeight="1" x14ac:dyDescent="0.15">
      <c r="B482" s="20"/>
      <c r="E482" s="20"/>
      <c r="F482" s="23"/>
    </row>
    <row r="483" spans="2:6" ht="15.75" customHeight="1" x14ac:dyDescent="0.15">
      <c r="B483" s="20"/>
      <c r="E483" s="20"/>
      <c r="F483" s="23"/>
    </row>
    <row r="484" spans="2:6" ht="15.75" customHeight="1" x14ac:dyDescent="0.15">
      <c r="B484" s="20"/>
      <c r="E484" s="20"/>
      <c r="F484" s="23"/>
    </row>
    <row r="485" spans="2:6" ht="15.75" customHeight="1" x14ac:dyDescent="0.15">
      <c r="B485" s="20"/>
      <c r="E485" s="20"/>
      <c r="F485" s="23"/>
    </row>
    <row r="486" spans="2:6" ht="15.75" customHeight="1" x14ac:dyDescent="0.15">
      <c r="B486" s="20"/>
      <c r="E486" s="20"/>
      <c r="F486" s="23"/>
    </row>
    <row r="487" spans="2:6" ht="15.75" customHeight="1" x14ac:dyDescent="0.15">
      <c r="B487" s="20"/>
      <c r="E487" s="20"/>
      <c r="F487" s="23"/>
    </row>
    <row r="488" spans="2:6" ht="15.75" customHeight="1" x14ac:dyDescent="0.15">
      <c r="B488" s="20"/>
      <c r="E488" s="20"/>
      <c r="F488" s="23"/>
    </row>
    <row r="489" spans="2:6" ht="15.75" customHeight="1" x14ac:dyDescent="0.15">
      <c r="B489" s="20"/>
      <c r="E489" s="20"/>
      <c r="F489" s="23"/>
    </row>
    <row r="490" spans="2:6" ht="15.75" customHeight="1" x14ac:dyDescent="0.15">
      <c r="B490" s="20"/>
      <c r="E490" s="20"/>
      <c r="F490" s="23"/>
    </row>
    <row r="491" spans="2:6" ht="15.75" customHeight="1" x14ac:dyDescent="0.15">
      <c r="B491" s="20"/>
      <c r="E491" s="20"/>
      <c r="F491" s="23"/>
    </row>
    <row r="492" spans="2:6" ht="15.75" customHeight="1" x14ac:dyDescent="0.15">
      <c r="B492" s="20"/>
      <c r="E492" s="20"/>
      <c r="F492" s="23"/>
    </row>
    <row r="493" spans="2:6" ht="15.75" customHeight="1" x14ac:dyDescent="0.15">
      <c r="B493" s="20"/>
      <c r="E493" s="20"/>
      <c r="F493" s="23"/>
    </row>
    <row r="494" spans="2:6" ht="15.75" customHeight="1" x14ac:dyDescent="0.15">
      <c r="B494" s="20"/>
      <c r="E494" s="20"/>
      <c r="F494" s="23"/>
    </row>
    <row r="495" spans="2:6" ht="15.75" customHeight="1" x14ac:dyDescent="0.15">
      <c r="B495" s="20"/>
      <c r="E495" s="20"/>
      <c r="F495" s="23"/>
    </row>
    <row r="496" spans="2:6" ht="15.75" customHeight="1" x14ac:dyDescent="0.15">
      <c r="B496" s="20"/>
      <c r="E496" s="20"/>
      <c r="F496" s="23"/>
    </row>
    <row r="497" spans="2:6" ht="15.75" customHeight="1" x14ac:dyDescent="0.15">
      <c r="B497" s="20"/>
      <c r="E497" s="20"/>
      <c r="F497" s="23"/>
    </row>
    <row r="498" spans="2:6" ht="15.75" customHeight="1" x14ac:dyDescent="0.15">
      <c r="B498" s="20"/>
      <c r="E498" s="20"/>
      <c r="F498" s="23"/>
    </row>
    <row r="499" spans="2:6" ht="15.75" customHeight="1" x14ac:dyDescent="0.15">
      <c r="B499" s="20"/>
      <c r="E499" s="20"/>
      <c r="F499" s="23"/>
    </row>
    <row r="500" spans="2:6" ht="15.75" customHeight="1" x14ac:dyDescent="0.15">
      <c r="B500" s="20"/>
      <c r="E500" s="20"/>
      <c r="F500" s="23"/>
    </row>
    <row r="501" spans="2:6" ht="15.75" customHeight="1" x14ac:dyDescent="0.15">
      <c r="B501" s="20"/>
      <c r="E501" s="20"/>
      <c r="F501" s="23"/>
    </row>
    <row r="502" spans="2:6" ht="15.75" customHeight="1" x14ac:dyDescent="0.15">
      <c r="B502" s="20"/>
      <c r="E502" s="20"/>
      <c r="F502" s="23"/>
    </row>
    <row r="503" spans="2:6" ht="15.75" customHeight="1" x14ac:dyDescent="0.15">
      <c r="B503" s="20"/>
      <c r="E503" s="20"/>
      <c r="F503" s="23"/>
    </row>
    <row r="504" spans="2:6" ht="15.75" customHeight="1" x14ac:dyDescent="0.15">
      <c r="B504" s="20"/>
      <c r="E504" s="20"/>
      <c r="F504" s="23"/>
    </row>
    <row r="505" spans="2:6" ht="15.75" customHeight="1" x14ac:dyDescent="0.15">
      <c r="B505" s="20"/>
      <c r="E505" s="20"/>
      <c r="F505" s="23"/>
    </row>
    <row r="506" spans="2:6" ht="15.75" customHeight="1" x14ac:dyDescent="0.15">
      <c r="B506" s="20"/>
      <c r="E506" s="20"/>
      <c r="F506" s="23"/>
    </row>
    <row r="507" spans="2:6" ht="15.75" customHeight="1" x14ac:dyDescent="0.15">
      <c r="B507" s="20"/>
      <c r="E507" s="20"/>
      <c r="F507" s="23"/>
    </row>
    <row r="508" spans="2:6" ht="15.75" customHeight="1" x14ac:dyDescent="0.15">
      <c r="B508" s="20"/>
      <c r="E508" s="20"/>
      <c r="F508" s="23"/>
    </row>
    <row r="509" spans="2:6" ht="15.75" customHeight="1" x14ac:dyDescent="0.15">
      <c r="B509" s="20"/>
      <c r="E509" s="20"/>
      <c r="F509" s="23"/>
    </row>
    <row r="510" spans="2:6" ht="15.75" customHeight="1" x14ac:dyDescent="0.15">
      <c r="B510" s="20"/>
      <c r="E510" s="20"/>
      <c r="F510" s="23"/>
    </row>
    <row r="511" spans="2:6" ht="15.75" customHeight="1" x14ac:dyDescent="0.15">
      <c r="B511" s="20"/>
      <c r="E511" s="20"/>
      <c r="F511" s="23"/>
    </row>
    <row r="512" spans="2:6" ht="15.75" customHeight="1" x14ac:dyDescent="0.15">
      <c r="B512" s="20"/>
      <c r="E512" s="20"/>
      <c r="F512" s="23"/>
    </row>
    <row r="513" spans="2:6" ht="15.75" customHeight="1" x14ac:dyDescent="0.15">
      <c r="B513" s="20"/>
      <c r="E513" s="20"/>
      <c r="F513" s="23"/>
    </row>
    <row r="514" spans="2:6" ht="15.75" customHeight="1" x14ac:dyDescent="0.15">
      <c r="B514" s="20"/>
      <c r="E514" s="20"/>
      <c r="F514" s="23"/>
    </row>
    <row r="515" spans="2:6" ht="15.75" customHeight="1" x14ac:dyDescent="0.15">
      <c r="B515" s="20"/>
      <c r="E515" s="20"/>
      <c r="F515" s="23"/>
    </row>
    <row r="516" spans="2:6" ht="15.75" customHeight="1" x14ac:dyDescent="0.15">
      <c r="B516" s="20"/>
      <c r="E516" s="20"/>
      <c r="F516" s="23"/>
    </row>
    <row r="517" spans="2:6" ht="15.75" customHeight="1" x14ac:dyDescent="0.15">
      <c r="B517" s="20"/>
      <c r="E517" s="20"/>
      <c r="F517" s="23"/>
    </row>
    <row r="518" spans="2:6" ht="15.75" customHeight="1" x14ac:dyDescent="0.15">
      <c r="B518" s="20"/>
      <c r="E518" s="20"/>
      <c r="F518" s="23"/>
    </row>
    <row r="519" spans="2:6" ht="15.75" customHeight="1" x14ac:dyDescent="0.15">
      <c r="B519" s="20"/>
      <c r="E519" s="20"/>
      <c r="F519" s="23"/>
    </row>
    <row r="520" spans="2:6" ht="15.75" customHeight="1" x14ac:dyDescent="0.15">
      <c r="B520" s="20"/>
      <c r="E520" s="20"/>
      <c r="F520" s="23"/>
    </row>
    <row r="521" spans="2:6" ht="15.75" customHeight="1" x14ac:dyDescent="0.15">
      <c r="B521" s="20"/>
      <c r="E521" s="20"/>
      <c r="F521" s="23"/>
    </row>
    <row r="522" spans="2:6" ht="15.75" customHeight="1" x14ac:dyDescent="0.15">
      <c r="B522" s="20"/>
      <c r="E522" s="20"/>
      <c r="F522" s="23"/>
    </row>
    <row r="523" spans="2:6" ht="15.75" customHeight="1" x14ac:dyDescent="0.15">
      <c r="B523" s="20"/>
      <c r="E523" s="20"/>
      <c r="F523" s="23"/>
    </row>
    <row r="524" spans="2:6" ht="15.75" customHeight="1" x14ac:dyDescent="0.15">
      <c r="B524" s="20"/>
      <c r="E524" s="20"/>
      <c r="F524" s="23"/>
    </row>
    <row r="525" spans="2:6" ht="15.75" customHeight="1" x14ac:dyDescent="0.15">
      <c r="B525" s="20"/>
      <c r="E525" s="20"/>
      <c r="F525" s="23"/>
    </row>
    <row r="526" spans="2:6" ht="15.75" customHeight="1" x14ac:dyDescent="0.15">
      <c r="B526" s="20"/>
      <c r="E526" s="20"/>
      <c r="F526" s="23"/>
    </row>
    <row r="527" spans="2:6" ht="15.75" customHeight="1" x14ac:dyDescent="0.15">
      <c r="B527" s="20"/>
      <c r="E527" s="20"/>
      <c r="F527" s="23"/>
    </row>
    <row r="528" spans="2:6" ht="15.75" customHeight="1" x14ac:dyDescent="0.15">
      <c r="B528" s="20"/>
      <c r="E528" s="20"/>
      <c r="F528" s="23"/>
    </row>
    <row r="529" spans="2:6" ht="15.75" customHeight="1" x14ac:dyDescent="0.15">
      <c r="B529" s="20"/>
      <c r="E529" s="20"/>
      <c r="F529" s="23"/>
    </row>
    <row r="530" spans="2:6" ht="15.75" customHeight="1" x14ac:dyDescent="0.15">
      <c r="B530" s="20"/>
      <c r="E530" s="20"/>
      <c r="F530" s="23"/>
    </row>
    <row r="531" spans="2:6" ht="15.75" customHeight="1" x14ac:dyDescent="0.15">
      <c r="B531" s="20"/>
      <c r="E531" s="20"/>
      <c r="F531" s="23"/>
    </row>
    <row r="532" spans="2:6" ht="15.75" customHeight="1" x14ac:dyDescent="0.15">
      <c r="B532" s="20"/>
      <c r="E532" s="20"/>
      <c r="F532" s="23"/>
    </row>
    <row r="533" spans="2:6" ht="15.75" customHeight="1" x14ac:dyDescent="0.15">
      <c r="B533" s="20"/>
      <c r="E533" s="20"/>
      <c r="F533" s="23"/>
    </row>
    <row r="534" spans="2:6" ht="15.75" customHeight="1" x14ac:dyDescent="0.15">
      <c r="B534" s="20"/>
      <c r="E534" s="20"/>
      <c r="F534" s="23"/>
    </row>
    <row r="535" spans="2:6" ht="15.75" customHeight="1" x14ac:dyDescent="0.15">
      <c r="B535" s="20"/>
      <c r="E535" s="20"/>
      <c r="F535" s="23"/>
    </row>
    <row r="536" spans="2:6" ht="15.75" customHeight="1" x14ac:dyDescent="0.15">
      <c r="B536" s="20"/>
      <c r="E536" s="20"/>
      <c r="F536" s="23"/>
    </row>
    <row r="537" spans="2:6" ht="15.75" customHeight="1" x14ac:dyDescent="0.15">
      <c r="B537" s="20"/>
      <c r="E537" s="20"/>
      <c r="F537" s="23"/>
    </row>
    <row r="538" spans="2:6" ht="15.75" customHeight="1" x14ac:dyDescent="0.15">
      <c r="B538" s="20"/>
      <c r="E538" s="20"/>
      <c r="F538" s="23"/>
    </row>
    <row r="539" spans="2:6" ht="15.75" customHeight="1" x14ac:dyDescent="0.15">
      <c r="B539" s="20"/>
      <c r="E539" s="20"/>
      <c r="F539" s="23"/>
    </row>
    <row r="540" spans="2:6" ht="15.75" customHeight="1" x14ac:dyDescent="0.15">
      <c r="B540" s="20"/>
      <c r="E540" s="20"/>
      <c r="F540" s="23"/>
    </row>
    <row r="541" spans="2:6" ht="15.75" customHeight="1" x14ac:dyDescent="0.15">
      <c r="B541" s="20"/>
      <c r="E541" s="20"/>
      <c r="F541" s="23"/>
    </row>
    <row r="542" spans="2:6" ht="15.75" customHeight="1" x14ac:dyDescent="0.15">
      <c r="B542" s="20"/>
      <c r="E542" s="20"/>
      <c r="F542" s="23"/>
    </row>
    <row r="543" spans="2:6" ht="15.75" customHeight="1" x14ac:dyDescent="0.15">
      <c r="B543" s="20"/>
      <c r="E543" s="20"/>
      <c r="F543" s="23"/>
    </row>
    <row r="544" spans="2:6" ht="15.75" customHeight="1" x14ac:dyDescent="0.15">
      <c r="B544" s="20"/>
      <c r="E544" s="20"/>
      <c r="F544" s="23"/>
    </row>
    <row r="545" spans="2:6" ht="15.75" customHeight="1" x14ac:dyDescent="0.15">
      <c r="B545" s="20"/>
      <c r="E545" s="20"/>
      <c r="F545" s="23"/>
    </row>
    <row r="546" spans="2:6" ht="15.75" customHeight="1" x14ac:dyDescent="0.15">
      <c r="B546" s="20"/>
      <c r="E546" s="20"/>
      <c r="F546" s="23"/>
    </row>
    <row r="547" spans="2:6" ht="15.75" customHeight="1" x14ac:dyDescent="0.15">
      <c r="B547" s="20"/>
      <c r="E547" s="20"/>
      <c r="F547" s="23"/>
    </row>
    <row r="548" spans="2:6" ht="15.75" customHeight="1" x14ac:dyDescent="0.15">
      <c r="B548" s="20"/>
      <c r="E548" s="20"/>
      <c r="F548" s="23"/>
    </row>
    <row r="549" spans="2:6" ht="15.75" customHeight="1" x14ac:dyDescent="0.15">
      <c r="B549" s="20"/>
      <c r="E549" s="20"/>
      <c r="F549" s="23"/>
    </row>
    <row r="550" spans="2:6" ht="15.75" customHeight="1" x14ac:dyDescent="0.15">
      <c r="B550" s="20"/>
      <c r="E550" s="20"/>
      <c r="F550" s="23"/>
    </row>
    <row r="551" spans="2:6" ht="15.75" customHeight="1" x14ac:dyDescent="0.15">
      <c r="B551" s="20"/>
      <c r="E551" s="20"/>
      <c r="F551" s="23"/>
    </row>
    <row r="552" spans="2:6" ht="15.75" customHeight="1" x14ac:dyDescent="0.15">
      <c r="B552" s="20"/>
      <c r="E552" s="20"/>
      <c r="F552" s="23"/>
    </row>
    <row r="553" spans="2:6" ht="15.75" customHeight="1" x14ac:dyDescent="0.15">
      <c r="B553" s="20"/>
      <c r="E553" s="20"/>
      <c r="F553" s="23"/>
    </row>
    <row r="554" spans="2:6" ht="15.75" customHeight="1" x14ac:dyDescent="0.15">
      <c r="B554" s="20"/>
      <c r="E554" s="20"/>
      <c r="F554" s="23"/>
    </row>
    <row r="555" spans="2:6" ht="15.75" customHeight="1" x14ac:dyDescent="0.15">
      <c r="B555" s="20"/>
      <c r="E555" s="20"/>
      <c r="F555" s="23"/>
    </row>
    <row r="556" spans="2:6" ht="15.75" customHeight="1" x14ac:dyDescent="0.15">
      <c r="B556" s="20"/>
      <c r="E556" s="20"/>
      <c r="F556" s="23"/>
    </row>
    <row r="557" spans="2:6" ht="15.75" customHeight="1" x14ac:dyDescent="0.15">
      <c r="B557" s="20"/>
      <c r="E557" s="20"/>
      <c r="F557" s="23"/>
    </row>
    <row r="558" spans="2:6" ht="15.75" customHeight="1" x14ac:dyDescent="0.15">
      <c r="B558" s="20"/>
      <c r="E558" s="20"/>
      <c r="F558" s="23"/>
    </row>
    <row r="559" spans="2:6" ht="15.75" customHeight="1" x14ac:dyDescent="0.15">
      <c r="B559" s="20"/>
      <c r="E559" s="20"/>
      <c r="F559" s="23"/>
    </row>
    <row r="560" spans="2:6" ht="15.75" customHeight="1" x14ac:dyDescent="0.15">
      <c r="B560" s="20"/>
      <c r="E560" s="20"/>
      <c r="F560" s="23"/>
    </row>
    <row r="561" spans="2:6" ht="15.75" customHeight="1" x14ac:dyDescent="0.15">
      <c r="B561" s="20"/>
      <c r="E561" s="20"/>
      <c r="F561" s="23"/>
    </row>
    <row r="562" spans="2:6" ht="15.75" customHeight="1" x14ac:dyDescent="0.15">
      <c r="B562" s="20"/>
      <c r="E562" s="20"/>
      <c r="F562" s="23"/>
    </row>
    <row r="563" spans="2:6" ht="15.75" customHeight="1" x14ac:dyDescent="0.15">
      <c r="B563" s="20"/>
      <c r="E563" s="20"/>
      <c r="F563" s="23"/>
    </row>
    <row r="564" spans="2:6" ht="15.75" customHeight="1" x14ac:dyDescent="0.15">
      <c r="B564" s="20"/>
      <c r="E564" s="20"/>
      <c r="F564" s="23"/>
    </row>
    <row r="565" spans="2:6" ht="15.75" customHeight="1" x14ac:dyDescent="0.15">
      <c r="B565" s="20"/>
      <c r="E565" s="20"/>
      <c r="F565" s="23"/>
    </row>
    <row r="566" spans="2:6" ht="15.75" customHeight="1" x14ac:dyDescent="0.15">
      <c r="B566" s="20"/>
      <c r="E566" s="20"/>
      <c r="F566" s="23"/>
    </row>
    <row r="567" spans="2:6" ht="15.75" customHeight="1" x14ac:dyDescent="0.15">
      <c r="B567" s="20"/>
      <c r="E567" s="20"/>
      <c r="F567" s="23"/>
    </row>
    <row r="568" spans="2:6" ht="15.75" customHeight="1" x14ac:dyDescent="0.15">
      <c r="B568" s="20"/>
      <c r="E568" s="20"/>
      <c r="F568" s="23"/>
    </row>
    <row r="569" spans="2:6" ht="15.75" customHeight="1" x14ac:dyDescent="0.15">
      <c r="B569" s="20"/>
      <c r="E569" s="20"/>
      <c r="F569" s="23"/>
    </row>
    <row r="570" spans="2:6" ht="15.75" customHeight="1" x14ac:dyDescent="0.15">
      <c r="B570" s="20"/>
      <c r="E570" s="20"/>
      <c r="F570" s="23"/>
    </row>
    <row r="571" spans="2:6" ht="15.75" customHeight="1" x14ac:dyDescent="0.15">
      <c r="B571" s="20"/>
      <c r="E571" s="20"/>
      <c r="F571" s="23"/>
    </row>
    <row r="572" spans="2:6" ht="15.75" customHeight="1" x14ac:dyDescent="0.15">
      <c r="B572" s="20"/>
      <c r="E572" s="20"/>
      <c r="F572" s="23"/>
    </row>
    <row r="573" spans="2:6" ht="15.75" customHeight="1" x14ac:dyDescent="0.15">
      <c r="B573" s="20"/>
      <c r="E573" s="20"/>
      <c r="F573" s="23"/>
    </row>
    <row r="574" spans="2:6" ht="15.75" customHeight="1" x14ac:dyDescent="0.15">
      <c r="B574" s="20"/>
      <c r="E574" s="20"/>
      <c r="F574" s="23"/>
    </row>
    <row r="575" spans="2:6" ht="15.75" customHeight="1" x14ac:dyDescent="0.15">
      <c r="B575" s="20"/>
      <c r="E575" s="20"/>
      <c r="F575" s="23"/>
    </row>
    <row r="576" spans="2:6" ht="15.75" customHeight="1" x14ac:dyDescent="0.15">
      <c r="B576" s="20"/>
      <c r="E576" s="20"/>
      <c r="F576" s="23"/>
    </row>
    <row r="577" spans="2:6" ht="15.75" customHeight="1" x14ac:dyDescent="0.15">
      <c r="B577" s="20"/>
      <c r="E577" s="20"/>
      <c r="F577" s="23"/>
    </row>
    <row r="578" spans="2:6" ht="15.75" customHeight="1" x14ac:dyDescent="0.15">
      <c r="B578" s="20"/>
      <c r="E578" s="20"/>
      <c r="F578" s="23"/>
    </row>
    <row r="579" spans="2:6" ht="15.75" customHeight="1" x14ac:dyDescent="0.15">
      <c r="B579" s="20"/>
      <c r="E579" s="20"/>
      <c r="F579" s="23"/>
    </row>
    <row r="580" spans="2:6" ht="15.75" customHeight="1" x14ac:dyDescent="0.15">
      <c r="B580" s="20"/>
      <c r="E580" s="20"/>
      <c r="F580" s="23"/>
    </row>
    <row r="581" spans="2:6" ht="15.75" customHeight="1" x14ac:dyDescent="0.15">
      <c r="B581" s="20"/>
      <c r="E581" s="20"/>
      <c r="F581" s="23"/>
    </row>
    <row r="582" spans="2:6" ht="15.75" customHeight="1" x14ac:dyDescent="0.15">
      <c r="B582" s="20"/>
      <c r="E582" s="20"/>
      <c r="F582" s="23"/>
    </row>
    <row r="583" spans="2:6" ht="15.75" customHeight="1" x14ac:dyDescent="0.15">
      <c r="B583" s="20"/>
      <c r="E583" s="20"/>
      <c r="F583" s="23"/>
    </row>
    <row r="584" spans="2:6" ht="15.75" customHeight="1" x14ac:dyDescent="0.15">
      <c r="B584" s="20"/>
      <c r="E584" s="20"/>
      <c r="F584" s="23"/>
    </row>
    <row r="585" spans="2:6" ht="15.75" customHeight="1" x14ac:dyDescent="0.15">
      <c r="B585" s="20"/>
      <c r="E585" s="20"/>
      <c r="F585" s="23"/>
    </row>
    <row r="586" spans="2:6" ht="15.75" customHeight="1" x14ac:dyDescent="0.15">
      <c r="B586" s="20"/>
      <c r="E586" s="20"/>
      <c r="F586" s="23"/>
    </row>
    <row r="587" spans="2:6" ht="15.75" customHeight="1" x14ac:dyDescent="0.15">
      <c r="B587" s="20"/>
      <c r="E587" s="20"/>
      <c r="F587" s="23"/>
    </row>
    <row r="588" spans="2:6" ht="15.75" customHeight="1" x14ac:dyDescent="0.15">
      <c r="B588" s="20"/>
      <c r="E588" s="20"/>
      <c r="F588" s="23"/>
    </row>
    <row r="589" spans="2:6" ht="15.75" customHeight="1" x14ac:dyDescent="0.15">
      <c r="B589" s="20"/>
      <c r="E589" s="20"/>
      <c r="F589" s="23"/>
    </row>
    <row r="590" spans="2:6" ht="15.75" customHeight="1" x14ac:dyDescent="0.15">
      <c r="B590" s="20"/>
      <c r="E590" s="20"/>
      <c r="F590" s="23"/>
    </row>
    <row r="591" spans="2:6" ht="15.75" customHeight="1" x14ac:dyDescent="0.15">
      <c r="B591" s="20"/>
      <c r="E591" s="20"/>
      <c r="F591" s="23"/>
    </row>
    <row r="592" spans="2:6" ht="15.75" customHeight="1" x14ac:dyDescent="0.15">
      <c r="B592" s="20"/>
      <c r="E592" s="20"/>
      <c r="F592" s="23"/>
    </row>
    <row r="593" spans="2:6" ht="15.75" customHeight="1" x14ac:dyDescent="0.15">
      <c r="B593" s="20"/>
      <c r="E593" s="20"/>
      <c r="F593" s="23"/>
    </row>
    <row r="594" spans="2:6" ht="15.75" customHeight="1" x14ac:dyDescent="0.15">
      <c r="B594" s="20"/>
      <c r="E594" s="20"/>
      <c r="F594" s="23"/>
    </row>
    <row r="595" spans="2:6" ht="15.75" customHeight="1" x14ac:dyDescent="0.15">
      <c r="B595" s="20"/>
      <c r="E595" s="20"/>
      <c r="F595" s="23"/>
    </row>
    <row r="596" spans="2:6" ht="15.75" customHeight="1" x14ac:dyDescent="0.15">
      <c r="B596" s="20"/>
      <c r="E596" s="20"/>
      <c r="F596" s="23"/>
    </row>
    <row r="597" spans="2:6" ht="15.75" customHeight="1" x14ac:dyDescent="0.15">
      <c r="B597" s="20"/>
      <c r="E597" s="20"/>
      <c r="F597" s="23"/>
    </row>
    <row r="598" spans="2:6" ht="15.75" customHeight="1" x14ac:dyDescent="0.15">
      <c r="B598" s="20"/>
      <c r="E598" s="20"/>
      <c r="F598" s="23"/>
    </row>
    <row r="599" spans="2:6" ht="15.75" customHeight="1" x14ac:dyDescent="0.15">
      <c r="B599" s="20"/>
      <c r="E599" s="20"/>
      <c r="F599" s="23"/>
    </row>
    <row r="600" spans="2:6" ht="15.75" customHeight="1" x14ac:dyDescent="0.15">
      <c r="B600" s="20"/>
      <c r="E600" s="20"/>
      <c r="F600" s="23"/>
    </row>
    <row r="601" spans="2:6" ht="15.75" customHeight="1" x14ac:dyDescent="0.15">
      <c r="B601" s="20"/>
      <c r="E601" s="20"/>
      <c r="F601" s="23"/>
    </row>
    <row r="602" spans="2:6" ht="15.75" customHeight="1" x14ac:dyDescent="0.15">
      <c r="B602" s="20"/>
      <c r="E602" s="20"/>
      <c r="F602" s="23"/>
    </row>
    <row r="603" spans="2:6" ht="15.75" customHeight="1" x14ac:dyDescent="0.15">
      <c r="B603" s="20"/>
      <c r="E603" s="20"/>
      <c r="F603" s="23"/>
    </row>
    <row r="604" spans="2:6" ht="15.75" customHeight="1" x14ac:dyDescent="0.15">
      <c r="B604" s="20"/>
      <c r="E604" s="20"/>
      <c r="F604" s="23"/>
    </row>
    <row r="605" spans="2:6" ht="15.75" customHeight="1" x14ac:dyDescent="0.15">
      <c r="B605" s="20"/>
      <c r="E605" s="20"/>
      <c r="F605" s="23"/>
    </row>
    <row r="606" spans="2:6" ht="15.75" customHeight="1" x14ac:dyDescent="0.15">
      <c r="B606" s="20"/>
      <c r="E606" s="20"/>
      <c r="F606" s="23"/>
    </row>
    <row r="607" spans="2:6" ht="15.75" customHeight="1" x14ac:dyDescent="0.15">
      <c r="B607" s="20"/>
      <c r="E607" s="20"/>
      <c r="F607" s="23"/>
    </row>
    <row r="608" spans="2:6" ht="15.75" customHeight="1" x14ac:dyDescent="0.15">
      <c r="B608" s="20"/>
      <c r="E608" s="20"/>
      <c r="F608" s="23"/>
    </row>
    <row r="609" spans="2:6" ht="15.75" customHeight="1" x14ac:dyDescent="0.15">
      <c r="B609" s="20"/>
      <c r="E609" s="20"/>
      <c r="F609" s="23"/>
    </row>
    <row r="610" spans="2:6" ht="15.75" customHeight="1" x14ac:dyDescent="0.15">
      <c r="B610" s="20"/>
      <c r="E610" s="20"/>
      <c r="F610" s="23"/>
    </row>
    <row r="611" spans="2:6" ht="15.75" customHeight="1" x14ac:dyDescent="0.15">
      <c r="B611" s="20"/>
      <c r="E611" s="20"/>
      <c r="F611" s="23"/>
    </row>
    <row r="612" spans="2:6" ht="15.75" customHeight="1" x14ac:dyDescent="0.15">
      <c r="B612" s="20"/>
      <c r="E612" s="20"/>
      <c r="F612" s="23"/>
    </row>
    <row r="613" spans="2:6" ht="15.75" customHeight="1" x14ac:dyDescent="0.15">
      <c r="B613" s="20"/>
      <c r="E613" s="20"/>
      <c r="F613" s="23"/>
    </row>
    <row r="614" spans="2:6" ht="15.75" customHeight="1" x14ac:dyDescent="0.15">
      <c r="B614" s="20"/>
      <c r="E614" s="20"/>
      <c r="F614" s="23"/>
    </row>
    <row r="615" spans="2:6" ht="15.75" customHeight="1" x14ac:dyDescent="0.15">
      <c r="B615" s="20"/>
      <c r="E615" s="20"/>
      <c r="F615" s="23"/>
    </row>
    <row r="616" spans="2:6" ht="15.75" customHeight="1" x14ac:dyDescent="0.15">
      <c r="B616" s="20"/>
      <c r="E616" s="20"/>
      <c r="F616" s="23"/>
    </row>
    <row r="617" spans="2:6" ht="15.75" customHeight="1" x14ac:dyDescent="0.15">
      <c r="B617" s="20"/>
      <c r="E617" s="20"/>
      <c r="F617" s="23"/>
    </row>
    <row r="618" spans="2:6" ht="15.75" customHeight="1" x14ac:dyDescent="0.15">
      <c r="B618" s="20"/>
      <c r="E618" s="20"/>
      <c r="F618" s="23"/>
    </row>
    <row r="619" spans="2:6" ht="15.75" customHeight="1" x14ac:dyDescent="0.15">
      <c r="B619" s="20"/>
      <c r="E619" s="20"/>
      <c r="F619" s="23"/>
    </row>
    <row r="620" spans="2:6" ht="15.75" customHeight="1" x14ac:dyDescent="0.15">
      <c r="B620" s="20"/>
      <c r="E620" s="20"/>
      <c r="F620" s="23"/>
    </row>
    <row r="621" spans="2:6" ht="15.75" customHeight="1" x14ac:dyDescent="0.15">
      <c r="B621" s="20"/>
      <c r="E621" s="20"/>
      <c r="F621" s="23"/>
    </row>
    <row r="622" spans="2:6" ht="15.75" customHeight="1" x14ac:dyDescent="0.15">
      <c r="B622" s="20"/>
      <c r="E622" s="20"/>
      <c r="F622" s="23"/>
    </row>
    <row r="623" spans="2:6" ht="15.75" customHeight="1" x14ac:dyDescent="0.15">
      <c r="B623" s="20"/>
      <c r="E623" s="20"/>
      <c r="F623" s="23"/>
    </row>
    <row r="624" spans="2:6" ht="15.75" customHeight="1" x14ac:dyDescent="0.15">
      <c r="B624" s="20"/>
      <c r="E624" s="20"/>
      <c r="F624" s="23"/>
    </row>
    <row r="625" spans="2:6" ht="15.75" customHeight="1" x14ac:dyDescent="0.15">
      <c r="B625" s="20"/>
      <c r="E625" s="20"/>
      <c r="F625" s="23"/>
    </row>
    <row r="626" spans="2:6" ht="15.75" customHeight="1" x14ac:dyDescent="0.15">
      <c r="B626" s="20"/>
      <c r="E626" s="20"/>
      <c r="F626" s="23"/>
    </row>
    <row r="627" spans="2:6" ht="15.75" customHeight="1" x14ac:dyDescent="0.15">
      <c r="B627" s="20"/>
      <c r="E627" s="20"/>
      <c r="F627" s="23"/>
    </row>
    <row r="628" spans="2:6" ht="15.75" customHeight="1" x14ac:dyDescent="0.15">
      <c r="B628" s="20"/>
      <c r="E628" s="20"/>
      <c r="F628" s="23"/>
    </row>
    <row r="629" spans="2:6" ht="15.75" customHeight="1" x14ac:dyDescent="0.15">
      <c r="B629" s="20"/>
      <c r="E629" s="20"/>
      <c r="F629" s="23"/>
    </row>
    <row r="630" spans="2:6" ht="15.75" customHeight="1" x14ac:dyDescent="0.15">
      <c r="B630" s="20"/>
      <c r="E630" s="20"/>
      <c r="F630" s="23"/>
    </row>
    <row r="631" spans="2:6" ht="15.75" customHeight="1" x14ac:dyDescent="0.15">
      <c r="B631" s="20"/>
      <c r="E631" s="20"/>
      <c r="F631" s="23"/>
    </row>
    <row r="632" spans="2:6" ht="15.75" customHeight="1" x14ac:dyDescent="0.15">
      <c r="B632" s="20"/>
      <c r="E632" s="20"/>
      <c r="F632" s="23"/>
    </row>
    <row r="633" spans="2:6" ht="15.75" customHeight="1" x14ac:dyDescent="0.15">
      <c r="B633" s="20"/>
      <c r="E633" s="20"/>
      <c r="F633" s="23"/>
    </row>
    <row r="634" spans="2:6" ht="15.75" customHeight="1" x14ac:dyDescent="0.15">
      <c r="B634" s="20"/>
      <c r="E634" s="20"/>
      <c r="F634" s="23"/>
    </row>
    <row r="635" spans="2:6" ht="15.75" customHeight="1" x14ac:dyDescent="0.15">
      <c r="B635" s="20"/>
      <c r="E635" s="20"/>
      <c r="F635" s="23"/>
    </row>
    <row r="636" spans="2:6" ht="15.75" customHeight="1" x14ac:dyDescent="0.15">
      <c r="B636" s="20"/>
      <c r="E636" s="20"/>
      <c r="F636" s="23"/>
    </row>
    <row r="637" spans="2:6" ht="15.75" customHeight="1" x14ac:dyDescent="0.15">
      <c r="B637" s="20"/>
      <c r="E637" s="20"/>
      <c r="F637" s="23"/>
    </row>
    <row r="638" spans="2:6" ht="15.75" customHeight="1" x14ac:dyDescent="0.15">
      <c r="B638" s="20"/>
      <c r="E638" s="20"/>
      <c r="F638" s="23"/>
    </row>
    <row r="639" spans="2:6" ht="15.75" customHeight="1" x14ac:dyDescent="0.15">
      <c r="B639" s="20"/>
      <c r="E639" s="20"/>
      <c r="F639" s="23"/>
    </row>
    <row r="640" spans="2:6" ht="15.75" customHeight="1" x14ac:dyDescent="0.15">
      <c r="B640" s="20"/>
      <c r="E640" s="20"/>
      <c r="F640" s="23"/>
    </row>
    <row r="641" spans="2:6" ht="15.75" customHeight="1" x14ac:dyDescent="0.15">
      <c r="B641" s="20"/>
      <c r="E641" s="20"/>
      <c r="F641" s="23"/>
    </row>
    <row r="642" spans="2:6" ht="15.75" customHeight="1" x14ac:dyDescent="0.15">
      <c r="B642" s="20"/>
      <c r="E642" s="20"/>
      <c r="F642" s="23"/>
    </row>
    <row r="643" spans="2:6" ht="15.75" customHeight="1" x14ac:dyDescent="0.15">
      <c r="B643" s="20"/>
      <c r="E643" s="20"/>
      <c r="F643" s="23"/>
    </row>
    <row r="644" spans="2:6" ht="15.75" customHeight="1" x14ac:dyDescent="0.15">
      <c r="B644" s="20"/>
      <c r="E644" s="20"/>
      <c r="F644" s="23"/>
    </row>
    <row r="645" spans="2:6" ht="15.75" customHeight="1" x14ac:dyDescent="0.15">
      <c r="B645" s="20"/>
      <c r="E645" s="20"/>
      <c r="F645" s="23"/>
    </row>
    <row r="646" spans="2:6" ht="15.75" customHeight="1" x14ac:dyDescent="0.15">
      <c r="B646" s="20"/>
      <c r="E646" s="20"/>
      <c r="F646" s="23"/>
    </row>
    <row r="647" spans="2:6" ht="15.75" customHeight="1" x14ac:dyDescent="0.15">
      <c r="B647" s="20"/>
      <c r="E647" s="20"/>
      <c r="F647" s="23"/>
    </row>
    <row r="648" spans="2:6" ht="15.75" customHeight="1" x14ac:dyDescent="0.15">
      <c r="B648" s="20"/>
      <c r="E648" s="20"/>
      <c r="F648" s="23"/>
    </row>
    <row r="649" spans="2:6" ht="15.75" customHeight="1" x14ac:dyDescent="0.15">
      <c r="B649" s="20"/>
      <c r="E649" s="20"/>
      <c r="F649" s="23"/>
    </row>
    <row r="650" spans="2:6" ht="15.75" customHeight="1" x14ac:dyDescent="0.15">
      <c r="B650" s="20"/>
      <c r="E650" s="20"/>
      <c r="F650" s="23"/>
    </row>
    <row r="651" spans="2:6" ht="15.75" customHeight="1" x14ac:dyDescent="0.15">
      <c r="B651" s="20"/>
      <c r="E651" s="20"/>
      <c r="F651" s="23"/>
    </row>
    <row r="652" spans="2:6" ht="15.75" customHeight="1" x14ac:dyDescent="0.15">
      <c r="B652" s="20"/>
      <c r="E652" s="20"/>
      <c r="F652" s="23"/>
    </row>
    <row r="653" spans="2:6" ht="15.75" customHeight="1" x14ac:dyDescent="0.15">
      <c r="B653" s="20"/>
      <c r="E653" s="20"/>
      <c r="F653" s="23"/>
    </row>
    <row r="654" spans="2:6" ht="15.75" customHeight="1" x14ac:dyDescent="0.15">
      <c r="B654" s="20"/>
      <c r="E654" s="20"/>
      <c r="F654" s="23"/>
    </row>
    <row r="655" spans="2:6" ht="15.75" customHeight="1" x14ac:dyDescent="0.15">
      <c r="B655" s="20"/>
      <c r="E655" s="20"/>
      <c r="F655" s="23"/>
    </row>
    <row r="656" spans="2:6" ht="15.75" customHeight="1" x14ac:dyDescent="0.15">
      <c r="B656" s="20"/>
      <c r="E656" s="20"/>
      <c r="F656" s="23"/>
    </row>
    <row r="657" spans="2:6" ht="15.75" customHeight="1" x14ac:dyDescent="0.15">
      <c r="B657" s="20"/>
      <c r="E657" s="20"/>
      <c r="F657" s="23"/>
    </row>
    <row r="658" spans="2:6" ht="15.75" customHeight="1" x14ac:dyDescent="0.15">
      <c r="B658" s="20"/>
      <c r="E658" s="20"/>
      <c r="F658" s="23"/>
    </row>
    <row r="659" spans="2:6" ht="15.75" customHeight="1" x14ac:dyDescent="0.15">
      <c r="B659" s="20"/>
      <c r="E659" s="20"/>
      <c r="F659" s="23"/>
    </row>
    <row r="660" spans="2:6" ht="15.75" customHeight="1" x14ac:dyDescent="0.15">
      <c r="B660" s="20"/>
      <c r="E660" s="20"/>
      <c r="F660" s="23"/>
    </row>
    <row r="661" spans="2:6" ht="15.75" customHeight="1" x14ac:dyDescent="0.15">
      <c r="B661" s="20"/>
      <c r="E661" s="20"/>
      <c r="F661" s="23"/>
    </row>
    <row r="662" spans="2:6" ht="15.75" customHeight="1" x14ac:dyDescent="0.15">
      <c r="B662" s="20"/>
      <c r="E662" s="20"/>
      <c r="F662" s="23"/>
    </row>
    <row r="663" spans="2:6" ht="15.75" customHeight="1" x14ac:dyDescent="0.15">
      <c r="B663" s="20"/>
      <c r="E663" s="20"/>
      <c r="F663" s="23"/>
    </row>
    <row r="664" spans="2:6" ht="15.75" customHeight="1" x14ac:dyDescent="0.15">
      <c r="B664" s="20"/>
      <c r="E664" s="20"/>
      <c r="F664" s="23"/>
    </row>
    <row r="665" spans="2:6" ht="15.75" customHeight="1" x14ac:dyDescent="0.15">
      <c r="B665" s="20"/>
      <c r="E665" s="20"/>
      <c r="F665" s="23"/>
    </row>
    <row r="666" spans="2:6" ht="15.75" customHeight="1" x14ac:dyDescent="0.15">
      <c r="B666" s="20"/>
      <c r="E666" s="20"/>
      <c r="F666" s="23"/>
    </row>
    <row r="667" spans="2:6" ht="15.75" customHeight="1" x14ac:dyDescent="0.15">
      <c r="B667" s="20"/>
      <c r="E667" s="20"/>
      <c r="F667" s="23"/>
    </row>
    <row r="668" spans="2:6" ht="15.75" customHeight="1" x14ac:dyDescent="0.15">
      <c r="B668" s="20"/>
      <c r="E668" s="20"/>
      <c r="F668" s="23"/>
    </row>
    <row r="669" spans="2:6" ht="15.75" customHeight="1" x14ac:dyDescent="0.15">
      <c r="B669" s="20"/>
      <c r="E669" s="20"/>
      <c r="F669" s="23"/>
    </row>
    <row r="670" spans="2:6" ht="15.75" customHeight="1" x14ac:dyDescent="0.15">
      <c r="B670" s="20"/>
      <c r="E670" s="20"/>
      <c r="F670" s="23"/>
    </row>
    <row r="671" spans="2:6" ht="15.75" customHeight="1" x14ac:dyDescent="0.15">
      <c r="B671" s="20"/>
      <c r="E671" s="20"/>
      <c r="F671" s="23"/>
    </row>
    <row r="672" spans="2:6" ht="15.75" customHeight="1" x14ac:dyDescent="0.15">
      <c r="B672" s="20"/>
      <c r="E672" s="20"/>
      <c r="F672" s="23"/>
    </row>
    <row r="673" spans="2:6" ht="15.75" customHeight="1" x14ac:dyDescent="0.15">
      <c r="B673" s="20"/>
      <c r="E673" s="20"/>
      <c r="F673" s="23"/>
    </row>
    <row r="674" spans="2:6" ht="15.75" customHeight="1" x14ac:dyDescent="0.15">
      <c r="B674" s="20"/>
      <c r="E674" s="20"/>
      <c r="F674" s="23"/>
    </row>
    <row r="675" spans="2:6" ht="15.75" customHeight="1" x14ac:dyDescent="0.15">
      <c r="B675" s="20"/>
      <c r="E675" s="20"/>
      <c r="F675" s="23"/>
    </row>
    <row r="676" spans="2:6" ht="15.75" customHeight="1" x14ac:dyDescent="0.15">
      <c r="B676" s="20"/>
      <c r="E676" s="20"/>
      <c r="F676" s="23"/>
    </row>
    <row r="677" spans="2:6" ht="15.75" customHeight="1" x14ac:dyDescent="0.15">
      <c r="B677" s="20"/>
      <c r="E677" s="20"/>
      <c r="F677" s="23"/>
    </row>
    <row r="678" spans="2:6" ht="15.75" customHeight="1" x14ac:dyDescent="0.15">
      <c r="B678" s="20"/>
      <c r="E678" s="20"/>
      <c r="F678" s="23"/>
    </row>
    <row r="679" spans="2:6" ht="15.75" customHeight="1" x14ac:dyDescent="0.15">
      <c r="B679" s="20"/>
      <c r="E679" s="20"/>
      <c r="F679" s="23"/>
    </row>
    <row r="680" spans="2:6" ht="15.75" customHeight="1" x14ac:dyDescent="0.15">
      <c r="B680" s="20"/>
      <c r="E680" s="20"/>
      <c r="F680" s="23"/>
    </row>
    <row r="681" spans="2:6" ht="15.75" customHeight="1" x14ac:dyDescent="0.15">
      <c r="B681" s="20"/>
      <c r="E681" s="20"/>
      <c r="F681" s="23"/>
    </row>
    <row r="682" spans="2:6" ht="15.75" customHeight="1" x14ac:dyDescent="0.15">
      <c r="B682" s="20"/>
      <c r="E682" s="20"/>
      <c r="F682" s="23"/>
    </row>
    <row r="683" spans="2:6" ht="15.75" customHeight="1" x14ac:dyDescent="0.15">
      <c r="B683" s="20"/>
      <c r="E683" s="20"/>
      <c r="F683" s="23"/>
    </row>
    <row r="684" spans="2:6" ht="15.75" customHeight="1" x14ac:dyDescent="0.15">
      <c r="B684" s="20"/>
      <c r="E684" s="20"/>
      <c r="F684" s="23"/>
    </row>
    <row r="685" spans="2:6" ht="15.75" customHeight="1" x14ac:dyDescent="0.15">
      <c r="B685" s="20"/>
      <c r="E685" s="20"/>
      <c r="F685" s="23"/>
    </row>
    <row r="686" spans="2:6" ht="15.75" customHeight="1" x14ac:dyDescent="0.15">
      <c r="B686" s="20"/>
      <c r="E686" s="20"/>
      <c r="F686" s="23"/>
    </row>
    <row r="687" spans="2:6" ht="15.75" customHeight="1" x14ac:dyDescent="0.15">
      <c r="B687" s="20"/>
      <c r="E687" s="20"/>
      <c r="F687" s="23"/>
    </row>
    <row r="688" spans="2:6" ht="15.75" customHeight="1" x14ac:dyDescent="0.15">
      <c r="B688" s="20"/>
      <c r="E688" s="20"/>
      <c r="F688" s="23"/>
    </row>
    <row r="689" spans="2:6" ht="15.75" customHeight="1" x14ac:dyDescent="0.15">
      <c r="B689" s="20"/>
      <c r="E689" s="20"/>
      <c r="F689" s="23"/>
    </row>
    <row r="690" spans="2:6" ht="15.75" customHeight="1" x14ac:dyDescent="0.15">
      <c r="B690" s="20"/>
      <c r="E690" s="20"/>
      <c r="F690" s="23"/>
    </row>
    <row r="691" spans="2:6" ht="15.75" customHeight="1" x14ac:dyDescent="0.15">
      <c r="B691" s="20"/>
      <c r="E691" s="20"/>
      <c r="F691" s="23"/>
    </row>
    <row r="692" spans="2:6" ht="15.75" customHeight="1" x14ac:dyDescent="0.15">
      <c r="B692" s="20"/>
      <c r="E692" s="20"/>
      <c r="F692" s="23"/>
    </row>
    <row r="693" spans="2:6" ht="15.75" customHeight="1" x14ac:dyDescent="0.15">
      <c r="B693" s="20"/>
      <c r="E693" s="20"/>
      <c r="F693" s="23"/>
    </row>
    <row r="694" spans="2:6" ht="15.75" customHeight="1" x14ac:dyDescent="0.15">
      <c r="B694" s="20"/>
      <c r="E694" s="20"/>
      <c r="F694" s="23"/>
    </row>
    <row r="695" spans="2:6" ht="15.75" customHeight="1" x14ac:dyDescent="0.15">
      <c r="B695" s="20"/>
      <c r="E695" s="20"/>
      <c r="F695" s="23"/>
    </row>
    <row r="696" spans="2:6" ht="15.75" customHeight="1" x14ac:dyDescent="0.15">
      <c r="B696" s="20"/>
      <c r="E696" s="20"/>
      <c r="F696" s="23"/>
    </row>
    <row r="697" spans="2:6" ht="15.75" customHeight="1" x14ac:dyDescent="0.15">
      <c r="B697" s="20"/>
      <c r="E697" s="20"/>
      <c r="F697" s="23"/>
    </row>
    <row r="698" spans="2:6" ht="15.75" customHeight="1" x14ac:dyDescent="0.15">
      <c r="B698" s="20"/>
      <c r="E698" s="20"/>
      <c r="F698" s="23"/>
    </row>
    <row r="699" spans="2:6" ht="15.75" customHeight="1" x14ac:dyDescent="0.15">
      <c r="B699" s="20"/>
      <c r="E699" s="20"/>
      <c r="F699" s="23"/>
    </row>
    <row r="700" spans="2:6" ht="15.75" customHeight="1" x14ac:dyDescent="0.15">
      <c r="B700" s="20"/>
      <c r="E700" s="20"/>
      <c r="F700" s="23"/>
    </row>
    <row r="701" spans="2:6" ht="15.75" customHeight="1" x14ac:dyDescent="0.15">
      <c r="B701" s="20"/>
      <c r="E701" s="20"/>
      <c r="F701" s="23"/>
    </row>
    <row r="702" spans="2:6" ht="15.75" customHeight="1" x14ac:dyDescent="0.15">
      <c r="B702" s="20"/>
      <c r="E702" s="20"/>
      <c r="F702" s="23"/>
    </row>
    <row r="703" spans="2:6" ht="15.75" customHeight="1" x14ac:dyDescent="0.15">
      <c r="B703" s="20"/>
      <c r="E703" s="20"/>
      <c r="F703" s="23"/>
    </row>
    <row r="704" spans="2:6" ht="15.75" customHeight="1" x14ac:dyDescent="0.15">
      <c r="B704" s="20"/>
      <c r="E704" s="20"/>
      <c r="F704" s="23"/>
    </row>
    <row r="705" spans="2:6" ht="15.75" customHeight="1" x14ac:dyDescent="0.15">
      <c r="B705" s="20"/>
      <c r="E705" s="20"/>
      <c r="F705" s="23"/>
    </row>
    <row r="706" spans="2:6" ht="15.75" customHeight="1" x14ac:dyDescent="0.15">
      <c r="B706" s="20"/>
      <c r="E706" s="20"/>
      <c r="F706" s="23"/>
    </row>
    <row r="707" spans="2:6" ht="15.75" customHeight="1" x14ac:dyDescent="0.15">
      <c r="B707" s="20"/>
      <c r="E707" s="20"/>
      <c r="F707" s="23"/>
    </row>
    <row r="708" spans="2:6" ht="15.75" customHeight="1" x14ac:dyDescent="0.15">
      <c r="B708" s="20"/>
      <c r="E708" s="20"/>
      <c r="F708" s="23"/>
    </row>
    <row r="709" spans="2:6" ht="15.75" customHeight="1" x14ac:dyDescent="0.15">
      <c r="B709" s="20"/>
      <c r="E709" s="20"/>
      <c r="F709" s="23"/>
    </row>
    <row r="710" spans="2:6" ht="15.75" customHeight="1" x14ac:dyDescent="0.15">
      <c r="B710" s="20"/>
      <c r="E710" s="20"/>
      <c r="F710" s="23"/>
    </row>
    <row r="711" spans="2:6" ht="15.75" customHeight="1" x14ac:dyDescent="0.15">
      <c r="B711" s="20"/>
      <c r="E711" s="20"/>
      <c r="F711" s="23"/>
    </row>
    <row r="712" spans="2:6" ht="15.75" customHeight="1" x14ac:dyDescent="0.15">
      <c r="B712" s="20"/>
      <c r="E712" s="20"/>
      <c r="F712" s="23"/>
    </row>
    <row r="713" spans="2:6" ht="15.75" customHeight="1" x14ac:dyDescent="0.15">
      <c r="B713" s="20"/>
      <c r="E713" s="20"/>
      <c r="F713" s="23"/>
    </row>
    <row r="714" spans="2:6" ht="15.75" customHeight="1" x14ac:dyDescent="0.15">
      <c r="B714" s="20"/>
      <c r="E714" s="20"/>
      <c r="F714" s="23"/>
    </row>
    <row r="715" spans="2:6" ht="15.75" customHeight="1" x14ac:dyDescent="0.15">
      <c r="B715" s="20"/>
      <c r="E715" s="20"/>
      <c r="F715" s="23"/>
    </row>
    <row r="716" spans="2:6" ht="15.75" customHeight="1" x14ac:dyDescent="0.15">
      <c r="B716" s="20"/>
      <c r="E716" s="20"/>
      <c r="F716" s="23"/>
    </row>
    <row r="717" spans="2:6" ht="15.75" customHeight="1" x14ac:dyDescent="0.15">
      <c r="B717" s="20"/>
      <c r="E717" s="20"/>
      <c r="F717" s="23"/>
    </row>
    <row r="718" spans="2:6" ht="15.75" customHeight="1" x14ac:dyDescent="0.15">
      <c r="B718" s="20"/>
      <c r="E718" s="20"/>
      <c r="F718" s="23"/>
    </row>
    <row r="719" spans="2:6" ht="15.75" customHeight="1" x14ac:dyDescent="0.15">
      <c r="B719" s="20"/>
      <c r="E719" s="20"/>
      <c r="F719" s="23"/>
    </row>
    <row r="720" spans="2:6" ht="15.75" customHeight="1" x14ac:dyDescent="0.15">
      <c r="B720" s="20"/>
      <c r="E720" s="20"/>
      <c r="F720" s="23"/>
    </row>
    <row r="721" spans="2:6" ht="15.75" customHeight="1" x14ac:dyDescent="0.15">
      <c r="B721" s="20"/>
      <c r="E721" s="20"/>
      <c r="F721" s="23"/>
    </row>
    <row r="722" spans="2:6" ht="15.75" customHeight="1" x14ac:dyDescent="0.15">
      <c r="B722" s="20"/>
      <c r="E722" s="20"/>
      <c r="F722" s="23"/>
    </row>
    <row r="723" spans="2:6" ht="15.75" customHeight="1" x14ac:dyDescent="0.15">
      <c r="B723" s="20"/>
      <c r="E723" s="20"/>
      <c r="F723" s="23"/>
    </row>
    <row r="724" spans="2:6" ht="15.75" customHeight="1" x14ac:dyDescent="0.15">
      <c r="B724" s="20"/>
      <c r="E724" s="20"/>
      <c r="F724" s="23"/>
    </row>
    <row r="725" spans="2:6" ht="15.75" customHeight="1" x14ac:dyDescent="0.15">
      <c r="B725" s="20"/>
      <c r="E725" s="20"/>
      <c r="F725" s="23"/>
    </row>
    <row r="726" spans="2:6" ht="15.75" customHeight="1" x14ac:dyDescent="0.15">
      <c r="B726" s="20"/>
      <c r="E726" s="20"/>
      <c r="F726" s="23"/>
    </row>
    <row r="727" spans="2:6" ht="15.75" customHeight="1" x14ac:dyDescent="0.15">
      <c r="B727" s="20"/>
      <c r="E727" s="20"/>
      <c r="F727" s="23"/>
    </row>
    <row r="728" spans="2:6" ht="15.75" customHeight="1" x14ac:dyDescent="0.15">
      <c r="B728" s="20"/>
      <c r="E728" s="20"/>
      <c r="F728" s="23"/>
    </row>
    <row r="729" spans="2:6" ht="15.75" customHeight="1" x14ac:dyDescent="0.15">
      <c r="B729" s="20"/>
      <c r="E729" s="20"/>
      <c r="F729" s="23"/>
    </row>
    <row r="730" spans="2:6" ht="15.75" customHeight="1" x14ac:dyDescent="0.15">
      <c r="B730" s="20"/>
      <c r="E730" s="20"/>
      <c r="F730" s="23"/>
    </row>
    <row r="731" spans="2:6" ht="15.75" customHeight="1" x14ac:dyDescent="0.15">
      <c r="B731" s="20"/>
      <c r="E731" s="20"/>
      <c r="F731" s="23"/>
    </row>
    <row r="732" spans="2:6" ht="15.75" customHeight="1" x14ac:dyDescent="0.15">
      <c r="B732" s="20"/>
      <c r="E732" s="20"/>
      <c r="F732" s="23"/>
    </row>
    <row r="733" spans="2:6" ht="15.75" customHeight="1" x14ac:dyDescent="0.15">
      <c r="B733" s="20"/>
      <c r="E733" s="20"/>
      <c r="F733" s="23"/>
    </row>
    <row r="734" spans="2:6" ht="15.75" customHeight="1" x14ac:dyDescent="0.15">
      <c r="B734" s="20"/>
      <c r="E734" s="20"/>
      <c r="F734" s="23"/>
    </row>
    <row r="735" spans="2:6" ht="15.75" customHeight="1" x14ac:dyDescent="0.15">
      <c r="B735" s="20"/>
      <c r="E735" s="20"/>
      <c r="F735" s="23"/>
    </row>
    <row r="736" spans="2:6" ht="15.75" customHeight="1" x14ac:dyDescent="0.15">
      <c r="B736" s="20"/>
      <c r="E736" s="20"/>
      <c r="F736" s="23"/>
    </row>
    <row r="737" spans="1:6" ht="15.75" customHeight="1" x14ac:dyDescent="0.15">
      <c r="A737" s="20"/>
      <c r="B737" s="20"/>
      <c r="E737" s="20"/>
      <c r="F737" s="23"/>
    </row>
    <row r="738" spans="1:6" ht="15.75" customHeight="1" x14ac:dyDescent="0.15">
      <c r="A738" s="20"/>
      <c r="B738" s="20"/>
      <c r="E738" s="20"/>
      <c r="F738" s="23"/>
    </row>
    <row r="739" spans="1:6" ht="15.75" customHeight="1" x14ac:dyDescent="0.15">
      <c r="A739" s="20"/>
      <c r="B739" s="20"/>
      <c r="E739" s="20"/>
      <c r="F739" s="23"/>
    </row>
    <row r="740" spans="1:6" ht="15.75" customHeight="1" x14ac:dyDescent="0.15">
      <c r="A740" s="20"/>
      <c r="B740" s="20"/>
      <c r="E740" s="20"/>
      <c r="F740" s="23"/>
    </row>
    <row r="741" spans="1:6" ht="15.75" customHeight="1" x14ac:dyDescent="0.15">
      <c r="A741" s="20"/>
      <c r="B741" s="20"/>
      <c r="E741" s="20"/>
      <c r="F741" s="23"/>
    </row>
    <row r="742" spans="1:6" ht="15.75" customHeight="1" x14ac:dyDescent="0.15">
      <c r="B742" s="20"/>
      <c r="E742" s="20"/>
      <c r="F742" s="23"/>
    </row>
    <row r="743" spans="1:6" ht="15.75" customHeight="1" x14ac:dyDescent="0.15">
      <c r="A743" s="20"/>
      <c r="B743" s="20"/>
      <c r="E743" s="20"/>
      <c r="F743" s="23"/>
    </row>
    <row r="744" spans="1:6" ht="15.75" customHeight="1" x14ac:dyDescent="0.15">
      <c r="A744" s="20"/>
      <c r="B744" s="20"/>
      <c r="E744" s="20"/>
      <c r="F744" s="23"/>
    </row>
    <row r="745" spans="1:6" ht="15.75" customHeight="1" x14ac:dyDescent="0.15">
      <c r="A745" s="20"/>
      <c r="B745" s="20"/>
      <c r="E745" s="20"/>
      <c r="F745" s="23"/>
    </row>
    <row r="746" spans="1:6" ht="15.75" customHeight="1" x14ac:dyDescent="0.15">
      <c r="A746" s="20"/>
      <c r="B746" s="20"/>
      <c r="E746" s="20"/>
      <c r="F746" s="23"/>
    </row>
    <row r="747" spans="1:6" ht="15.75" customHeight="1" x14ac:dyDescent="0.15">
      <c r="B747" s="20"/>
      <c r="E747" s="20"/>
      <c r="F747" s="23"/>
    </row>
    <row r="748" spans="1:6" ht="15.75" customHeight="1" x14ac:dyDescent="0.15">
      <c r="A748" s="20"/>
      <c r="B748" s="20"/>
      <c r="E748" s="20"/>
      <c r="F748" s="23"/>
    </row>
    <row r="749" spans="1:6" ht="15.75" customHeight="1" x14ac:dyDescent="0.15">
      <c r="A749" s="20"/>
      <c r="B749" s="20"/>
      <c r="E749" s="20"/>
      <c r="F749" s="23"/>
    </row>
    <row r="750" spans="1:6" ht="15.75" customHeight="1" x14ac:dyDescent="0.15">
      <c r="A750" s="20"/>
      <c r="B750" s="20"/>
      <c r="E750" s="20"/>
      <c r="F750" s="23"/>
    </row>
    <row r="751" spans="1:6" ht="15.75" customHeight="1" x14ac:dyDescent="0.15">
      <c r="B751" s="20"/>
      <c r="E751" s="20"/>
      <c r="F751" s="23"/>
    </row>
    <row r="752" spans="1:6" ht="15.75" customHeight="1" x14ac:dyDescent="0.15">
      <c r="E752" s="20"/>
      <c r="F752" s="23"/>
    </row>
    <row r="753" spans="1:6" ht="15.75" customHeight="1" x14ac:dyDescent="0.15">
      <c r="A753" s="20"/>
      <c r="B753" s="20"/>
      <c r="E753" s="20"/>
      <c r="F753" s="23"/>
    </row>
    <row r="754" spans="1:6" ht="15.75" customHeight="1" x14ac:dyDescent="0.15">
      <c r="A754" s="20"/>
      <c r="B754" s="20"/>
      <c r="E754" s="20"/>
      <c r="F754" s="23"/>
    </row>
    <row r="755" spans="1:6" ht="15.75" customHeight="1" x14ac:dyDescent="0.15">
      <c r="A755" s="20"/>
      <c r="B755" s="20"/>
      <c r="E755" s="20"/>
      <c r="F755" s="23"/>
    </row>
    <row r="756" spans="1:6" ht="15.75" customHeight="1" x14ac:dyDescent="0.15">
      <c r="A756" s="20"/>
      <c r="B756" s="20"/>
      <c r="E756" s="20"/>
      <c r="F756" s="23"/>
    </row>
    <row r="757" spans="1:6" ht="15.75" customHeight="1" x14ac:dyDescent="0.15">
      <c r="A757" s="20"/>
      <c r="B757" s="20"/>
      <c r="E757" s="20"/>
      <c r="F757" s="23"/>
    </row>
    <row r="758" spans="1:6" ht="15.75" customHeight="1" x14ac:dyDescent="0.15">
      <c r="A758" s="20"/>
      <c r="B758" s="20"/>
      <c r="E758" s="20"/>
      <c r="F758" s="23"/>
    </row>
    <row r="759" spans="1:6" ht="15.75" customHeight="1" x14ac:dyDescent="0.15">
      <c r="A759" s="20"/>
      <c r="B759" s="20"/>
      <c r="E759" s="20"/>
      <c r="F759" s="23"/>
    </row>
    <row r="760" spans="1:6" ht="15.75" customHeight="1" x14ac:dyDescent="0.15">
      <c r="A760" s="20"/>
      <c r="B760" s="20"/>
      <c r="E760" s="20"/>
      <c r="F760" s="23"/>
    </row>
    <row r="761" spans="1:6" ht="15.75" customHeight="1" x14ac:dyDescent="0.15">
      <c r="A761" s="20"/>
      <c r="B761" s="20"/>
      <c r="E761" s="20"/>
      <c r="F761" s="23"/>
    </row>
    <row r="762" spans="1:6" ht="15.75" customHeight="1" x14ac:dyDescent="0.15">
      <c r="B762" s="20"/>
      <c r="E762" s="20"/>
      <c r="F762" s="23"/>
    </row>
    <row r="763" spans="1:6" ht="15.75" customHeight="1" x14ac:dyDescent="0.15">
      <c r="A763" s="20"/>
      <c r="B763" s="20"/>
      <c r="E763" s="20"/>
      <c r="F763" s="23"/>
    </row>
    <row r="764" spans="1:6" ht="15.75" customHeight="1" x14ac:dyDescent="0.15">
      <c r="A764" s="20"/>
      <c r="B764" s="20"/>
      <c r="E764" s="20"/>
      <c r="F764" s="23"/>
    </row>
    <row r="765" spans="1:6" ht="15.75" customHeight="1" x14ac:dyDescent="0.15">
      <c r="A765" s="20"/>
      <c r="B765" s="20"/>
      <c r="E765" s="20"/>
      <c r="F765" s="23"/>
    </row>
    <row r="766" spans="1:6" ht="15.75" customHeight="1" x14ac:dyDescent="0.15">
      <c r="A766" s="20"/>
      <c r="B766" s="20"/>
      <c r="E766" s="20"/>
      <c r="F766" s="23"/>
    </row>
    <row r="767" spans="1:6" ht="15.75" customHeight="1" x14ac:dyDescent="0.15">
      <c r="A767" s="20"/>
      <c r="B767" s="20"/>
      <c r="E767" s="20"/>
      <c r="F767" s="23"/>
    </row>
    <row r="768" spans="1:6" ht="15.75" customHeight="1" x14ac:dyDescent="0.15">
      <c r="A768" s="20"/>
      <c r="B768" s="20"/>
      <c r="E768" s="20"/>
      <c r="F768" s="23"/>
    </row>
    <row r="769" spans="1:6" ht="15.75" customHeight="1" x14ac:dyDescent="0.15">
      <c r="A769" s="20"/>
      <c r="B769" s="20"/>
      <c r="E769" s="20"/>
      <c r="F769" s="23"/>
    </row>
    <row r="770" spans="1:6" ht="15.75" customHeight="1" x14ac:dyDescent="0.15">
      <c r="A770" s="20"/>
      <c r="B770" s="20"/>
      <c r="E770" s="20"/>
      <c r="F770" s="23"/>
    </row>
    <row r="771" spans="1:6" ht="15.75" customHeight="1" x14ac:dyDescent="0.15">
      <c r="A771" s="20"/>
      <c r="B771" s="20"/>
      <c r="E771" s="20"/>
      <c r="F771" s="23"/>
    </row>
    <row r="772" spans="1:6" ht="15.75" customHeight="1" x14ac:dyDescent="0.15">
      <c r="B772" s="20"/>
      <c r="E772" s="20"/>
      <c r="F772" s="23"/>
    </row>
    <row r="773" spans="1:6" ht="15.75" customHeight="1" x14ac:dyDescent="0.15">
      <c r="A773" s="20"/>
      <c r="B773" s="20"/>
      <c r="E773" s="20"/>
      <c r="F773" s="23"/>
    </row>
    <row r="774" spans="1:6" ht="15.75" customHeight="1" x14ac:dyDescent="0.15">
      <c r="B774" s="20"/>
      <c r="E774" s="20"/>
      <c r="F774" s="23"/>
    </row>
    <row r="775" spans="1:6" ht="15.75" customHeight="1" x14ac:dyDescent="0.15">
      <c r="A775" s="20"/>
      <c r="B775" s="20"/>
      <c r="E775" s="20"/>
      <c r="F775" s="23"/>
    </row>
    <row r="776" spans="1:6" ht="15.75" customHeight="1" x14ac:dyDescent="0.15">
      <c r="A776" s="20"/>
      <c r="B776" s="20"/>
      <c r="E776" s="20"/>
      <c r="F776" s="23"/>
    </row>
    <row r="777" spans="1:6" ht="15.75" customHeight="1" x14ac:dyDescent="0.15">
      <c r="E777" s="20"/>
      <c r="F777" s="23"/>
    </row>
    <row r="778" spans="1:6" ht="15.75" customHeight="1" x14ac:dyDescent="0.15">
      <c r="A778" s="20"/>
      <c r="B778" s="20"/>
      <c r="E778" s="20"/>
      <c r="F778" s="23"/>
    </row>
    <row r="779" spans="1:6" ht="15.75" customHeight="1" x14ac:dyDescent="0.15">
      <c r="E779" s="20"/>
      <c r="F779" s="23"/>
    </row>
    <row r="780" spans="1:6" ht="15.75" customHeight="1" x14ac:dyDescent="0.15">
      <c r="E780" s="20"/>
      <c r="F780" s="23"/>
    </row>
    <row r="781" spans="1:6" ht="15.75" customHeight="1" x14ac:dyDescent="0.15">
      <c r="E781" s="20"/>
      <c r="F781" s="23"/>
    </row>
    <row r="782" spans="1:6" ht="15.75" customHeight="1" x14ac:dyDescent="0.15">
      <c r="E782" s="20"/>
      <c r="F782" s="23"/>
    </row>
    <row r="783" spans="1:6" ht="15.75" customHeight="1" x14ac:dyDescent="0.15">
      <c r="E783" s="20"/>
      <c r="F783" s="23"/>
    </row>
    <row r="784" spans="1:6" ht="15.75" customHeight="1" x14ac:dyDescent="0.15">
      <c r="E784" s="20"/>
      <c r="F784" s="23"/>
    </row>
    <row r="785" spans="5:6" ht="15.75" customHeight="1" x14ac:dyDescent="0.15">
      <c r="E785" s="20"/>
      <c r="F785" s="23"/>
    </row>
    <row r="786" spans="5:6" ht="15.75" customHeight="1" x14ac:dyDescent="0.15">
      <c r="E786" s="20"/>
      <c r="F786" s="23"/>
    </row>
    <row r="787" spans="5:6" ht="15.75" customHeight="1" x14ac:dyDescent="0.15">
      <c r="E787" s="20"/>
      <c r="F787" s="23"/>
    </row>
    <row r="788" spans="5:6" ht="15.75" customHeight="1" x14ac:dyDescent="0.15">
      <c r="E788" s="20"/>
      <c r="F788" s="23"/>
    </row>
    <row r="789" spans="5:6" ht="15.75" customHeight="1" x14ac:dyDescent="0.15">
      <c r="E789" s="20"/>
      <c r="F789" s="23"/>
    </row>
    <row r="790" spans="5:6" ht="15.75" customHeight="1" x14ac:dyDescent="0.15">
      <c r="E790" s="20"/>
      <c r="F790" s="23"/>
    </row>
    <row r="791" spans="5:6" ht="15.75" customHeight="1" x14ac:dyDescent="0.15">
      <c r="E791" s="20"/>
      <c r="F791" s="23"/>
    </row>
    <row r="792" spans="5:6" ht="15.75" customHeight="1" x14ac:dyDescent="0.15">
      <c r="E792" s="20"/>
      <c r="F792" s="23"/>
    </row>
    <row r="793" spans="5:6" ht="15.75" customHeight="1" x14ac:dyDescent="0.15">
      <c r="E793" s="20"/>
      <c r="F793" s="23"/>
    </row>
    <row r="794" spans="5:6" ht="15.75" customHeight="1" x14ac:dyDescent="0.15">
      <c r="E794" s="20"/>
      <c r="F794" s="23"/>
    </row>
    <row r="795" spans="5:6" ht="15.75" customHeight="1" x14ac:dyDescent="0.15">
      <c r="E795" s="20"/>
      <c r="F795" s="23"/>
    </row>
    <row r="796" spans="5:6" ht="15.75" customHeight="1" x14ac:dyDescent="0.15">
      <c r="E796" s="20"/>
      <c r="F796" s="23"/>
    </row>
    <row r="797" spans="5:6" ht="15.75" customHeight="1" x14ac:dyDescent="0.15">
      <c r="E797" s="20"/>
      <c r="F797" s="23"/>
    </row>
    <row r="798" spans="5:6" ht="15.75" customHeight="1" x14ac:dyDescent="0.15">
      <c r="E798" s="20"/>
      <c r="F798" s="23"/>
    </row>
    <row r="799" spans="5:6" ht="15.75" customHeight="1" x14ac:dyDescent="0.15">
      <c r="E799" s="20"/>
      <c r="F799" s="23"/>
    </row>
    <row r="800" spans="5:6" ht="15.75" customHeight="1" x14ac:dyDescent="0.15">
      <c r="E800" s="20"/>
      <c r="F800" s="23"/>
    </row>
    <row r="801" spans="5:6" ht="15.75" customHeight="1" x14ac:dyDescent="0.15">
      <c r="E801" s="20"/>
      <c r="F801" s="23"/>
    </row>
    <row r="802" spans="5:6" ht="15.75" customHeight="1" x14ac:dyDescent="0.15">
      <c r="E802" s="20"/>
      <c r="F802" s="23"/>
    </row>
    <row r="803" spans="5:6" ht="15.75" customHeight="1" x14ac:dyDescent="0.15">
      <c r="E803" s="20"/>
      <c r="F803" s="23"/>
    </row>
    <row r="804" spans="5:6" ht="15.75" customHeight="1" x14ac:dyDescent="0.15">
      <c r="E804" s="20"/>
      <c r="F804" s="23"/>
    </row>
    <row r="805" spans="5:6" ht="15.75" customHeight="1" x14ac:dyDescent="0.15">
      <c r="E805" s="20"/>
      <c r="F805" s="23"/>
    </row>
    <row r="806" spans="5:6" ht="15.75" customHeight="1" x14ac:dyDescent="0.15">
      <c r="E806" s="20"/>
      <c r="F806" s="23"/>
    </row>
    <row r="807" spans="5:6" ht="15.75" customHeight="1" x14ac:dyDescent="0.15">
      <c r="E807" s="20"/>
      <c r="F807" s="23"/>
    </row>
    <row r="808" spans="5:6" ht="15.75" customHeight="1" x14ac:dyDescent="0.15">
      <c r="E808" s="20"/>
      <c r="F808" s="23"/>
    </row>
    <row r="809" spans="5:6" ht="15.75" customHeight="1" x14ac:dyDescent="0.15">
      <c r="E809" s="20"/>
      <c r="F809" s="23"/>
    </row>
    <row r="810" spans="5:6" ht="15.75" customHeight="1" x14ac:dyDescent="0.15">
      <c r="E810" s="20"/>
      <c r="F810" s="23"/>
    </row>
    <row r="811" spans="5:6" ht="15.75" customHeight="1" x14ac:dyDescent="0.15">
      <c r="E811" s="20"/>
      <c r="F811" s="23"/>
    </row>
    <row r="812" spans="5:6" ht="15.75" customHeight="1" x14ac:dyDescent="0.15">
      <c r="E812" s="20"/>
      <c r="F812" s="23"/>
    </row>
  </sheetData>
  <conditionalFormatting sqref="A3:A802">
    <cfRule type="duplicateValues" dxfId="0"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
  <sheetViews>
    <sheetView workbookViewId="0"/>
  </sheetViews>
  <sheetFormatPr baseColWidth="10" defaultColWidth="12.6640625" defaultRowHeight="15.75" customHeight="1" x14ac:dyDescent="0.15"/>
  <cols>
    <col min="1" max="1" width="13.6640625" customWidth="1"/>
    <col min="2" max="2" width="56.33203125" customWidth="1"/>
    <col min="3" max="3" width="17.1640625" customWidth="1"/>
    <col min="4" max="4" width="22.1640625" customWidth="1"/>
    <col min="5" max="5" width="26.33203125" customWidth="1"/>
    <col min="6" max="6" width="16.83203125" style="31" customWidth="1"/>
    <col min="7" max="7" width="20" style="31" customWidth="1"/>
  </cols>
  <sheetData>
    <row r="1" spans="1:7" ht="15.75" customHeight="1" x14ac:dyDescent="0.2">
      <c r="A1" s="15" t="s">
        <v>35</v>
      </c>
      <c r="B1" s="17" t="s">
        <v>36</v>
      </c>
      <c r="C1" s="16" t="s">
        <v>35</v>
      </c>
      <c r="D1" s="16" t="s">
        <v>35</v>
      </c>
      <c r="E1" s="17" t="s">
        <v>36</v>
      </c>
      <c r="F1" s="16" t="s">
        <v>35</v>
      </c>
      <c r="G1" s="16" t="s">
        <v>35</v>
      </c>
    </row>
    <row r="2" spans="1:7" ht="16" x14ac:dyDescent="0.2">
      <c r="A2" s="18" t="s">
        <v>22</v>
      </c>
      <c r="B2" s="19" t="s">
        <v>24</v>
      </c>
      <c r="C2" s="19" t="s">
        <v>26</v>
      </c>
      <c r="D2" s="19" t="s">
        <v>15</v>
      </c>
      <c r="E2" s="19" t="s">
        <v>27</v>
      </c>
      <c r="F2" s="19" t="s">
        <v>28</v>
      </c>
      <c r="G2" s="19" t="s">
        <v>29</v>
      </c>
    </row>
    <row r="3" spans="1:7" ht="15.75" customHeight="1" x14ac:dyDescent="0.15">
      <c r="F3" s="51"/>
      <c r="G3" s="51"/>
    </row>
  </sheetData>
  <phoneticPr fontId="30"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C417-4FF8-1C43-8F06-EC201FD5CE0A}">
  <dimension ref="A1:D19"/>
  <sheetViews>
    <sheetView workbookViewId="0"/>
  </sheetViews>
  <sheetFormatPr baseColWidth="10" defaultColWidth="12.6640625" defaultRowHeight="16" customHeight="1" x14ac:dyDescent="0.15"/>
  <cols>
    <col min="1" max="1" width="29.33203125" style="120" customWidth="1"/>
    <col min="2" max="2" width="37.33203125" style="120" customWidth="1"/>
    <col min="3" max="4" width="15.5" style="120" customWidth="1"/>
    <col min="5" max="16384" width="12.6640625" style="120"/>
  </cols>
  <sheetData>
    <row r="1" spans="1:4" customFormat="1" ht="15.75" customHeight="1" x14ac:dyDescent="0.2">
      <c r="A1" s="15" t="s">
        <v>35</v>
      </c>
      <c r="B1" s="15" t="s">
        <v>35</v>
      </c>
      <c r="C1" s="17" t="s">
        <v>36</v>
      </c>
      <c r="D1" s="17" t="s">
        <v>36</v>
      </c>
    </row>
    <row r="2" spans="1:4" ht="16" customHeight="1" x14ac:dyDescent="0.15">
      <c r="A2" s="157" t="s">
        <v>101</v>
      </c>
      <c r="B2" s="157" t="s">
        <v>16</v>
      </c>
      <c r="C2" s="157" t="s">
        <v>147</v>
      </c>
      <c r="D2" s="157" t="s">
        <v>143</v>
      </c>
    </row>
    <row r="3" spans="1:4" ht="16" customHeight="1" x14ac:dyDescent="0.15">
      <c r="A3" s="121"/>
    </row>
    <row r="4" spans="1:4" ht="16" customHeight="1" x14ac:dyDescent="0.15">
      <c r="A4" s="121"/>
    </row>
    <row r="5" spans="1:4" ht="16" customHeight="1" x14ac:dyDescent="0.15">
      <c r="A5" s="122"/>
    </row>
    <row r="6" spans="1:4" ht="16" customHeight="1" x14ac:dyDescent="0.15">
      <c r="A6" s="122"/>
    </row>
    <row r="7" spans="1:4" ht="16" customHeight="1" x14ac:dyDescent="0.15">
      <c r="A7" s="122"/>
    </row>
    <row r="8" spans="1:4" ht="16" customHeight="1" x14ac:dyDescent="0.15">
      <c r="A8" s="122"/>
    </row>
    <row r="9" spans="1:4" ht="16" customHeight="1" x14ac:dyDescent="0.15">
      <c r="A9" s="122"/>
    </row>
    <row r="10" spans="1:4" ht="16" customHeight="1" x14ac:dyDescent="0.15">
      <c r="A10" s="122"/>
    </row>
    <row r="11" spans="1:4" ht="16" customHeight="1" x14ac:dyDescent="0.15">
      <c r="A11" s="122"/>
    </row>
    <row r="12" spans="1:4" ht="16" customHeight="1" x14ac:dyDescent="0.15">
      <c r="A12" s="123"/>
      <c r="B12" s="124"/>
    </row>
    <row r="13" spans="1:4" ht="16" customHeight="1" x14ac:dyDescent="0.15">
      <c r="A13" s="123"/>
      <c r="B13" s="124"/>
    </row>
    <row r="14" spans="1:4" ht="16" customHeight="1" x14ac:dyDescent="0.15">
      <c r="A14" s="123"/>
      <c r="B14" s="124"/>
    </row>
    <row r="15" spans="1:4" ht="16" customHeight="1" x14ac:dyDescent="0.15">
      <c r="A15" s="123"/>
      <c r="B15" s="124"/>
    </row>
    <row r="16" spans="1:4" ht="16" customHeight="1" x14ac:dyDescent="0.15">
      <c r="A16" s="123"/>
      <c r="B16" s="124"/>
    </row>
    <row r="17" spans="1:2" ht="16" customHeight="1" x14ac:dyDescent="0.15">
      <c r="A17" s="123"/>
      <c r="B17" s="124"/>
    </row>
    <row r="18" spans="1:2" ht="16" customHeight="1" x14ac:dyDescent="0.15">
      <c r="A18" s="123"/>
      <c r="B18" s="124"/>
    </row>
    <row r="19" spans="1:2" ht="16" customHeight="1" x14ac:dyDescent="0.15">
      <c r="A19" s="122"/>
    </row>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326D-8A9D-A54D-9E72-E9C1B6AAF12A}">
  <dimension ref="A1:D5"/>
  <sheetViews>
    <sheetView workbookViewId="0"/>
  </sheetViews>
  <sheetFormatPr baseColWidth="10" defaultColWidth="12.6640625" defaultRowHeight="15" customHeight="1" x14ac:dyDescent="0.15"/>
  <cols>
    <col min="1" max="1" width="27" style="120" customWidth="1"/>
    <col min="2" max="2" width="40.5" style="120" customWidth="1"/>
    <col min="3" max="3" width="23.5" style="120" customWidth="1"/>
    <col min="4" max="4" width="22.83203125" style="120" customWidth="1"/>
    <col min="5" max="13" width="10.6640625" style="120" customWidth="1"/>
    <col min="14" max="16384" width="12.6640625" style="120"/>
  </cols>
  <sheetData>
    <row r="1" spans="1:4" customFormat="1" ht="15.75" customHeight="1" x14ac:dyDescent="0.2">
      <c r="A1" s="15" t="s">
        <v>35</v>
      </c>
      <c r="B1" s="15" t="s">
        <v>35</v>
      </c>
      <c r="C1" s="16" t="s">
        <v>35</v>
      </c>
      <c r="D1" s="16" t="s">
        <v>35</v>
      </c>
    </row>
    <row r="2" spans="1:4" ht="17" x14ac:dyDescent="0.15">
      <c r="A2" s="157" t="s">
        <v>26</v>
      </c>
      <c r="B2" s="157" t="s">
        <v>102</v>
      </c>
      <c r="C2" s="230" t="s">
        <v>103</v>
      </c>
      <c r="D2" s="157" t="s">
        <v>101</v>
      </c>
    </row>
    <row r="3" spans="1:4" ht="13" x14ac:dyDescent="0.15"/>
    <row r="4" spans="1:4" ht="13" x14ac:dyDescent="0.15"/>
    <row r="5" spans="1:4" ht="13" x14ac:dyDescent="0.15"/>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outlinePr summaryBelow="0" summaryRight="0"/>
  </sheetPr>
  <dimension ref="A1:H303"/>
  <sheetViews>
    <sheetView zoomScale="110" zoomScaleNormal="110" workbookViewId="0"/>
  </sheetViews>
  <sheetFormatPr baseColWidth="10" defaultColWidth="12.6640625" defaultRowHeight="15.75" customHeight="1" x14ac:dyDescent="0.15"/>
  <cols>
    <col min="1" max="1" width="14.33203125" bestFit="1" customWidth="1"/>
    <col min="2" max="2" width="51.6640625" bestFit="1" customWidth="1"/>
    <col min="3" max="3" width="32.6640625" bestFit="1" customWidth="1"/>
    <col min="4" max="4" width="26" bestFit="1" customWidth="1"/>
    <col min="5" max="5" width="27" bestFit="1" customWidth="1"/>
    <col min="6" max="6" width="39" customWidth="1"/>
    <col min="8" max="8" width="28.5" bestFit="1" customWidth="1"/>
  </cols>
  <sheetData>
    <row r="1" spans="1:8" ht="17" thickBot="1" x14ac:dyDescent="0.25">
      <c r="A1" s="237" t="s">
        <v>17</v>
      </c>
      <c r="B1" s="238" t="s">
        <v>37</v>
      </c>
      <c r="C1" s="238" t="s">
        <v>38</v>
      </c>
      <c r="D1" s="245" t="s">
        <v>39</v>
      </c>
      <c r="E1" s="243" t="s">
        <v>40</v>
      </c>
      <c r="F1" s="231" t="s">
        <v>41</v>
      </c>
      <c r="H1" s="227" t="s">
        <v>152</v>
      </c>
    </row>
    <row r="2" spans="1:8" ht="15" x14ac:dyDescent="0.2">
      <c r="A2" s="232" t="s">
        <v>42</v>
      </c>
      <c r="B2" s="239" t="s">
        <v>43</v>
      </c>
      <c r="C2" s="244" t="s">
        <v>44</v>
      </c>
      <c r="D2" s="244" t="s">
        <v>45</v>
      </c>
      <c r="E2" s="241" t="s">
        <v>46</v>
      </c>
      <c r="F2" s="233" t="s">
        <v>47</v>
      </c>
      <c r="H2" s="228" t="s">
        <v>153</v>
      </c>
    </row>
    <row r="3" spans="1:8" ht="15" x14ac:dyDescent="0.2">
      <c r="A3" s="232" t="s">
        <v>48</v>
      </c>
      <c r="B3" s="239" t="s">
        <v>482</v>
      </c>
      <c r="C3" s="239" t="s">
        <v>465</v>
      </c>
      <c r="D3" s="239" t="s">
        <v>51</v>
      </c>
      <c r="E3" s="241" t="s">
        <v>52</v>
      </c>
      <c r="F3" s="233" t="s">
        <v>92</v>
      </c>
      <c r="H3" s="228" t="s">
        <v>154</v>
      </c>
    </row>
    <row r="4" spans="1:8" ht="15" x14ac:dyDescent="0.2">
      <c r="A4" s="232" t="s">
        <v>54</v>
      </c>
      <c r="B4" s="239" t="s">
        <v>489</v>
      </c>
      <c r="C4" s="239" t="s">
        <v>50</v>
      </c>
      <c r="D4" s="239" t="s">
        <v>467</v>
      </c>
      <c r="E4" s="241"/>
      <c r="F4" s="233" t="s">
        <v>93</v>
      </c>
      <c r="H4" s="228" t="s">
        <v>155</v>
      </c>
    </row>
    <row r="5" spans="1:8" ht="15" x14ac:dyDescent="0.2">
      <c r="A5" s="232" t="s">
        <v>57</v>
      </c>
      <c r="B5" s="239" t="s">
        <v>483</v>
      </c>
      <c r="C5" s="239" t="s">
        <v>466</v>
      </c>
      <c r="D5" s="241"/>
      <c r="E5" s="241"/>
      <c r="F5" s="233" t="s">
        <v>94</v>
      </c>
      <c r="H5" s="228" t="s">
        <v>156</v>
      </c>
    </row>
    <row r="6" spans="1:8" ht="15" x14ac:dyDescent="0.2">
      <c r="A6" s="232" t="s">
        <v>60</v>
      </c>
      <c r="B6" s="239" t="s">
        <v>485</v>
      </c>
      <c r="C6" s="239" t="s">
        <v>55</v>
      </c>
      <c r="D6" s="241"/>
      <c r="E6" s="241"/>
      <c r="F6" s="233" t="s">
        <v>53</v>
      </c>
      <c r="H6" s="228" t="s">
        <v>157</v>
      </c>
    </row>
    <row r="7" spans="1:8" ht="15" x14ac:dyDescent="0.2">
      <c r="A7" s="232"/>
      <c r="B7" s="239" t="s">
        <v>49</v>
      </c>
      <c r="C7" s="239" t="s">
        <v>58</v>
      </c>
      <c r="D7" s="241"/>
      <c r="E7" s="241"/>
      <c r="F7" s="233" t="s">
        <v>98</v>
      </c>
      <c r="H7" s="228" t="s">
        <v>158</v>
      </c>
    </row>
    <row r="8" spans="1:8" ht="15" x14ac:dyDescent="0.2">
      <c r="A8" s="232"/>
      <c r="B8" s="239" t="s">
        <v>474</v>
      </c>
      <c r="C8" s="239" t="s">
        <v>486</v>
      </c>
      <c r="D8" s="241"/>
      <c r="E8" s="241"/>
      <c r="F8" s="233" t="s">
        <v>56</v>
      </c>
      <c r="H8" s="228" t="s">
        <v>159</v>
      </c>
    </row>
    <row r="9" spans="1:8" ht="15" x14ac:dyDescent="0.2">
      <c r="A9" s="232"/>
      <c r="B9" s="239" t="s">
        <v>484</v>
      </c>
      <c r="C9" s="239" t="s">
        <v>61</v>
      </c>
      <c r="D9" s="241"/>
      <c r="E9" s="241"/>
      <c r="F9" s="233" t="s">
        <v>96</v>
      </c>
      <c r="H9" s="228" t="s">
        <v>160</v>
      </c>
    </row>
    <row r="10" spans="1:8" ht="15" x14ac:dyDescent="0.2">
      <c r="A10" s="232"/>
      <c r="B10" s="239" t="s">
        <v>97</v>
      </c>
      <c r="C10" s="239" t="s">
        <v>65</v>
      </c>
      <c r="D10" s="241"/>
      <c r="E10" s="241"/>
      <c r="F10" s="233" t="s">
        <v>59</v>
      </c>
      <c r="H10" s="228" t="s">
        <v>161</v>
      </c>
    </row>
    <row r="11" spans="1:8" ht="15" x14ac:dyDescent="0.2">
      <c r="A11" s="232"/>
      <c r="B11" s="239" t="s">
        <v>492</v>
      </c>
      <c r="C11" s="239" t="s">
        <v>479</v>
      </c>
      <c r="D11" s="241"/>
      <c r="E11" s="241"/>
      <c r="F11" s="233" t="s">
        <v>99</v>
      </c>
      <c r="H11" s="228" t="s">
        <v>162</v>
      </c>
    </row>
    <row r="12" spans="1:8" ht="15" x14ac:dyDescent="0.2">
      <c r="A12" s="232"/>
      <c r="B12" s="239" t="s">
        <v>64</v>
      </c>
      <c r="C12" s="239" t="s">
        <v>488</v>
      </c>
      <c r="D12" s="241"/>
      <c r="E12" s="241"/>
      <c r="F12" s="233" t="s">
        <v>100</v>
      </c>
      <c r="H12" s="228" t="s">
        <v>163</v>
      </c>
    </row>
    <row r="13" spans="1:8" ht="15" x14ac:dyDescent="0.2">
      <c r="A13" s="232"/>
      <c r="B13" s="239" t="s">
        <v>487</v>
      </c>
      <c r="C13" s="239" t="s">
        <v>480</v>
      </c>
      <c r="D13" s="241"/>
      <c r="E13" s="241"/>
      <c r="F13" s="233" t="s">
        <v>468</v>
      </c>
      <c r="H13" s="228" t="s">
        <v>164</v>
      </c>
    </row>
    <row r="14" spans="1:8" ht="15" x14ac:dyDescent="0.2">
      <c r="A14" s="232"/>
      <c r="B14" s="239" t="s">
        <v>90</v>
      </c>
      <c r="C14" s="239" t="s">
        <v>67</v>
      </c>
      <c r="D14" s="241"/>
      <c r="E14" s="241"/>
      <c r="F14" s="233" t="s">
        <v>469</v>
      </c>
      <c r="H14" s="228" t="s">
        <v>165</v>
      </c>
    </row>
    <row r="15" spans="1:8" ht="15" x14ac:dyDescent="0.2">
      <c r="A15" s="232"/>
      <c r="B15" s="239" t="s">
        <v>475</v>
      </c>
      <c r="C15" s="246" t="s">
        <v>478</v>
      </c>
      <c r="D15" s="241"/>
      <c r="E15" s="241"/>
      <c r="F15" s="233" t="s">
        <v>95</v>
      </c>
      <c r="H15" s="228" t="s">
        <v>166</v>
      </c>
    </row>
    <row r="16" spans="1:8" ht="15" x14ac:dyDescent="0.2">
      <c r="A16" s="232"/>
      <c r="B16" s="239" t="s">
        <v>91</v>
      </c>
      <c r="C16" s="239" t="s">
        <v>477</v>
      </c>
      <c r="D16" s="241"/>
      <c r="E16" s="241"/>
      <c r="F16" s="233" t="s">
        <v>470</v>
      </c>
      <c r="H16" s="228" t="s">
        <v>167</v>
      </c>
    </row>
    <row r="17" spans="1:8" ht="15" x14ac:dyDescent="0.2">
      <c r="A17" s="232"/>
      <c r="B17" s="239" t="s">
        <v>476</v>
      </c>
      <c r="C17" s="239" t="s">
        <v>69</v>
      </c>
      <c r="D17" s="241"/>
      <c r="E17" s="241"/>
      <c r="F17" s="233" t="s">
        <v>471</v>
      </c>
      <c r="H17" s="228" t="s">
        <v>168</v>
      </c>
    </row>
    <row r="18" spans="1:8" ht="15" x14ac:dyDescent="0.2">
      <c r="A18" s="232"/>
      <c r="B18" s="239" t="s">
        <v>68</v>
      </c>
      <c r="C18" s="241"/>
      <c r="D18" s="241"/>
      <c r="E18" s="241"/>
      <c r="F18" s="233" t="s">
        <v>472</v>
      </c>
      <c r="H18" s="228" t="s">
        <v>169</v>
      </c>
    </row>
    <row r="19" spans="1:8" ht="15" x14ac:dyDescent="0.2">
      <c r="A19" s="232"/>
      <c r="B19" s="241"/>
      <c r="C19" s="241"/>
      <c r="D19" s="241"/>
      <c r="E19" s="241"/>
      <c r="F19" s="233" t="s">
        <v>62</v>
      </c>
      <c r="H19" s="228" t="s">
        <v>170</v>
      </c>
    </row>
    <row r="20" spans="1:8" ht="15" x14ac:dyDescent="0.2">
      <c r="A20" s="232"/>
      <c r="B20" s="240"/>
      <c r="C20" s="241"/>
      <c r="D20" s="241"/>
      <c r="E20" s="241"/>
      <c r="F20" s="233" t="s">
        <v>63</v>
      </c>
      <c r="H20" s="228" t="s">
        <v>171</v>
      </c>
    </row>
    <row r="21" spans="1:8" ht="15" x14ac:dyDescent="0.2">
      <c r="A21" s="232"/>
      <c r="B21" s="241"/>
      <c r="C21" s="241"/>
      <c r="D21" s="241"/>
      <c r="E21" s="241"/>
      <c r="F21" s="233" t="s">
        <v>66</v>
      </c>
      <c r="H21" s="228" t="s">
        <v>172</v>
      </c>
    </row>
    <row r="22" spans="1:8" ht="14" customHeight="1" x14ac:dyDescent="0.2">
      <c r="A22" s="232"/>
      <c r="B22" s="241"/>
      <c r="C22" s="241"/>
      <c r="D22" s="241"/>
      <c r="E22" s="241"/>
      <c r="F22" s="234"/>
      <c r="H22" s="228" t="s">
        <v>173</v>
      </c>
    </row>
    <row r="23" spans="1:8" ht="16" thickBot="1" x14ac:dyDescent="0.25">
      <c r="A23" s="235"/>
      <c r="B23" s="242" t="s">
        <v>481</v>
      </c>
      <c r="C23" s="242"/>
      <c r="D23" s="242"/>
      <c r="E23" s="242"/>
      <c r="F23" s="236"/>
      <c r="H23" s="228" t="s">
        <v>174</v>
      </c>
    </row>
    <row r="24" spans="1:8" ht="15.75" customHeight="1" x14ac:dyDescent="0.15">
      <c r="H24" s="228" t="s">
        <v>175</v>
      </c>
    </row>
    <row r="25" spans="1:8" ht="15.75" customHeight="1" x14ac:dyDescent="0.15">
      <c r="H25" s="228" t="s">
        <v>176</v>
      </c>
    </row>
    <row r="26" spans="1:8" ht="15.75" customHeight="1" x14ac:dyDescent="0.15">
      <c r="B26" s="20"/>
      <c r="H26" s="228" t="s">
        <v>177</v>
      </c>
    </row>
    <row r="27" spans="1:8" ht="15.75" customHeight="1" x14ac:dyDescent="0.15">
      <c r="B27" s="20"/>
      <c r="H27" s="228" t="s">
        <v>178</v>
      </c>
    </row>
    <row r="28" spans="1:8" ht="15.75" customHeight="1" x14ac:dyDescent="0.15">
      <c r="B28" s="20"/>
      <c r="H28" s="228" t="s">
        <v>179</v>
      </c>
    </row>
    <row r="29" spans="1:8" ht="15.75" customHeight="1" x14ac:dyDescent="0.15">
      <c r="H29" s="228" t="s">
        <v>180</v>
      </c>
    </row>
    <row r="30" spans="1:8" ht="15.75" customHeight="1" x14ac:dyDescent="0.15">
      <c r="H30" s="228" t="s">
        <v>181</v>
      </c>
    </row>
    <row r="31" spans="1:8" ht="15.75" customHeight="1" x14ac:dyDescent="0.15">
      <c r="H31" s="228" t="s">
        <v>182</v>
      </c>
    </row>
    <row r="32" spans="1:8" ht="15.75" customHeight="1" x14ac:dyDescent="0.15">
      <c r="H32" s="228" t="s">
        <v>183</v>
      </c>
    </row>
    <row r="33" spans="8:8" ht="15.75" customHeight="1" x14ac:dyDescent="0.15">
      <c r="H33" s="228" t="s">
        <v>184</v>
      </c>
    </row>
    <row r="34" spans="8:8" ht="15.75" customHeight="1" x14ac:dyDescent="0.15">
      <c r="H34" s="228" t="s">
        <v>185</v>
      </c>
    </row>
    <row r="35" spans="8:8" ht="15.75" customHeight="1" x14ac:dyDescent="0.15">
      <c r="H35" s="228" t="s">
        <v>186</v>
      </c>
    </row>
    <row r="36" spans="8:8" ht="15.75" customHeight="1" x14ac:dyDescent="0.15">
      <c r="H36" s="228" t="s">
        <v>187</v>
      </c>
    </row>
    <row r="37" spans="8:8" ht="15.75" customHeight="1" x14ac:dyDescent="0.15">
      <c r="H37" s="228" t="s">
        <v>188</v>
      </c>
    </row>
    <row r="38" spans="8:8" ht="15.75" customHeight="1" x14ac:dyDescent="0.15">
      <c r="H38" s="228" t="s">
        <v>189</v>
      </c>
    </row>
    <row r="39" spans="8:8" ht="15.75" customHeight="1" x14ac:dyDescent="0.15">
      <c r="H39" s="228" t="s">
        <v>190</v>
      </c>
    </row>
    <row r="40" spans="8:8" ht="15.75" customHeight="1" x14ac:dyDescent="0.15">
      <c r="H40" s="228" t="s">
        <v>191</v>
      </c>
    </row>
    <row r="41" spans="8:8" ht="15.75" customHeight="1" x14ac:dyDescent="0.15">
      <c r="H41" s="228" t="s">
        <v>192</v>
      </c>
    </row>
    <row r="42" spans="8:8" ht="15.75" customHeight="1" x14ac:dyDescent="0.15">
      <c r="H42" s="228" t="s">
        <v>193</v>
      </c>
    </row>
    <row r="43" spans="8:8" ht="15.75" customHeight="1" x14ac:dyDescent="0.15">
      <c r="H43" s="228" t="s">
        <v>194</v>
      </c>
    </row>
    <row r="44" spans="8:8" ht="15.75" customHeight="1" x14ac:dyDescent="0.15">
      <c r="H44" s="228" t="s">
        <v>195</v>
      </c>
    </row>
    <row r="45" spans="8:8" ht="15.75" customHeight="1" x14ac:dyDescent="0.15">
      <c r="H45" s="228" t="s">
        <v>196</v>
      </c>
    </row>
    <row r="46" spans="8:8" ht="15.75" customHeight="1" x14ac:dyDescent="0.15">
      <c r="H46" s="228" t="s">
        <v>197</v>
      </c>
    </row>
    <row r="47" spans="8:8" ht="15.75" customHeight="1" x14ac:dyDescent="0.15">
      <c r="H47" s="228" t="s">
        <v>198</v>
      </c>
    </row>
    <row r="48" spans="8:8" ht="15.75" customHeight="1" x14ac:dyDescent="0.15">
      <c r="H48" s="228" t="s">
        <v>199</v>
      </c>
    </row>
    <row r="49" spans="8:8" ht="15.75" customHeight="1" x14ac:dyDescent="0.15">
      <c r="H49" s="228" t="s">
        <v>200</v>
      </c>
    </row>
    <row r="50" spans="8:8" ht="15.75" customHeight="1" x14ac:dyDescent="0.15">
      <c r="H50" s="228" t="s">
        <v>201</v>
      </c>
    </row>
    <row r="51" spans="8:8" ht="15.75" customHeight="1" x14ac:dyDescent="0.15">
      <c r="H51" s="228" t="s">
        <v>202</v>
      </c>
    </row>
    <row r="52" spans="8:8" ht="15.75" customHeight="1" x14ac:dyDescent="0.15">
      <c r="H52" s="228" t="s">
        <v>203</v>
      </c>
    </row>
    <row r="53" spans="8:8" ht="15.75" customHeight="1" x14ac:dyDescent="0.15">
      <c r="H53" s="228" t="s">
        <v>204</v>
      </c>
    </row>
    <row r="54" spans="8:8" ht="15.75" customHeight="1" x14ac:dyDescent="0.15">
      <c r="H54" s="228" t="s">
        <v>205</v>
      </c>
    </row>
    <row r="55" spans="8:8" ht="15.75" customHeight="1" x14ac:dyDescent="0.15">
      <c r="H55" s="228" t="s">
        <v>206</v>
      </c>
    </row>
    <row r="56" spans="8:8" ht="15.75" customHeight="1" x14ac:dyDescent="0.15">
      <c r="H56" s="228" t="s">
        <v>207</v>
      </c>
    </row>
    <row r="57" spans="8:8" ht="15.75" customHeight="1" x14ac:dyDescent="0.15">
      <c r="H57" s="228" t="s">
        <v>208</v>
      </c>
    </row>
    <row r="58" spans="8:8" ht="15.75" customHeight="1" x14ac:dyDescent="0.15">
      <c r="H58" s="228" t="s">
        <v>209</v>
      </c>
    </row>
    <row r="59" spans="8:8" ht="15.75" customHeight="1" x14ac:dyDescent="0.15">
      <c r="H59" s="228" t="s">
        <v>210</v>
      </c>
    </row>
    <row r="60" spans="8:8" ht="15.75" customHeight="1" x14ac:dyDescent="0.15">
      <c r="H60" s="228" t="s">
        <v>211</v>
      </c>
    </row>
    <row r="61" spans="8:8" ht="15.75" customHeight="1" x14ac:dyDescent="0.15">
      <c r="H61" s="228" t="s">
        <v>212</v>
      </c>
    </row>
    <row r="62" spans="8:8" ht="15.75" customHeight="1" x14ac:dyDescent="0.15">
      <c r="H62" s="228" t="s">
        <v>213</v>
      </c>
    </row>
    <row r="63" spans="8:8" ht="15.75" customHeight="1" x14ac:dyDescent="0.15">
      <c r="H63" s="228" t="s">
        <v>214</v>
      </c>
    </row>
    <row r="64" spans="8:8" ht="15.75" customHeight="1" x14ac:dyDescent="0.15">
      <c r="H64" s="228" t="s">
        <v>215</v>
      </c>
    </row>
    <row r="65" spans="8:8" ht="15.75" customHeight="1" x14ac:dyDescent="0.15">
      <c r="H65" s="228" t="s">
        <v>216</v>
      </c>
    </row>
    <row r="66" spans="8:8" ht="15.75" customHeight="1" x14ac:dyDescent="0.15">
      <c r="H66" s="228" t="s">
        <v>217</v>
      </c>
    </row>
    <row r="67" spans="8:8" ht="15.75" customHeight="1" x14ac:dyDescent="0.15">
      <c r="H67" s="228" t="s">
        <v>218</v>
      </c>
    </row>
    <row r="68" spans="8:8" ht="15.75" customHeight="1" x14ac:dyDescent="0.15">
      <c r="H68" s="228" t="s">
        <v>219</v>
      </c>
    </row>
    <row r="69" spans="8:8" ht="15.75" customHeight="1" x14ac:dyDescent="0.15">
      <c r="H69" s="228" t="s">
        <v>220</v>
      </c>
    </row>
    <row r="70" spans="8:8" ht="15.75" customHeight="1" x14ac:dyDescent="0.15">
      <c r="H70" s="228" t="s">
        <v>221</v>
      </c>
    </row>
    <row r="71" spans="8:8" ht="15.75" customHeight="1" x14ac:dyDescent="0.15">
      <c r="H71" s="228" t="s">
        <v>222</v>
      </c>
    </row>
    <row r="72" spans="8:8" ht="15.75" customHeight="1" x14ac:dyDescent="0.15">
      <c r="H72" s="228" t="s">
        <v>223</v>
      </c>
    </row>
    <row r="73" spans="8:8" ht="15.75" customHeight="1" x14ac:dyDescent="0.15">
      <c r="H73" s="228" t="s">
        <v>224</v>
      </c>
    </row>
    <row r="74" spans="8:8" ht="15.75" customHeight="1" x14ac:dyDescent="0.15">
      <c r="H74" s="228" t="s">
        <v>225</v>
      </c>
    </row>
    <row r="75" spans="8:8" ht="15.75" customHeight="1" x14ac:dyDescent="0.15">
      <c r="H75" s="228" t="s">
        <v>226</v>
      </c>
    </row>
    <row r="76" spans="8:8" ht="15.75" customHeight="1" x14ac:dyDescent="0.15">
      <c r="H76" s="228" t="s">
        <v>227</v>
      </c>
    </row>
    <row r="77" spans="8:8" ht="15.75" customHeight="1" x14ac:dyDescent="0.15">
      <c r="H77" s="228" t="s">
        <v>228</v>
      </c>
    </row>
    <row r="78" spans="8:8" ht="15.75" customHeight="1" x14ac:dyDescent="0.15">
      <c r="H78" s="228" t="s">
        <v>229</v>
      </c>
    </row>
    <row r="79" spans="8:8" ht="15.75" customHeight="1" x14ac:dyDescent="0.15">
      <c r="H79" s="228" t="s">
        <v>230</v>
      </c>
    </row>
    <row r="80" spans="8:8" ht="15.75" customHeight="1" x14ac:dyDescent="0.15">
      <c r="H80" s="228" t="s">
        <v>231</v>
      </c>
    </row>
    <row r="81" spans="8:8" ht="15.75" customHeight="1" x14ac:dyDescent="0.15">
      <c r="H81" s="228" t="s">
        <v>232</v>
      </c>
    </row>
    <row r="82" spans="8:8" ht="15.75" customHeight="1" x14ac:dyDescent="0.15">
      <c r="H82" s="228" t="s">
        <v>233</v>
      </c>
    </row>
    <row r="83" spans="8:8" ht="15.75" customHeight="1" x14ac:dyDescent="0.15">
      <c r="H83" s="228" t="s">
        <v>234</v>
      </c>
    </row>
    <row r="84" spans="8:8" ht="15.75" customHeight="1" x14ac:dyDescent="0.15">
      <c r="H84" s="228" t="s">
        <v>235</v>
      </c>
    </row>
    <row r="85" spans="8:8" ht="15.75" customHeight="1" x14ac:dyDescent="0.15">
      <c r="H85" s="228" t="s">
        <v>236</v>
      </c>
    </row>
    <row r="86" spans="8:8" ht="15.75" customHeight="1" x14ac:dyDescent="0.15">
      <c r="H86" s="228" t="s">
        <v>237</v>
      </c>
    </row>
    <row r="87" spans="8:8" ht="15.75" customHeight="1" x14ac:dyDescent="0.15">
      <c r="H87" s="228" t="s">
        <v>238</v>
      </c>
    </row>
    <row r="88" spans="8:8" ht="15.75" customHeight="1" x14ac:dyDescent="0.15">
      <c r="H88" s="228" t="s">
        <v>239</v>
      </c>
    </row>
    <row r="89" spans="8:8" ht="15.75" customHeight="1" x14ac:dyDescent="0.15">
      <c r="H89" s="228" t="s">
        <v>240</v>
      </c>
    </row>
    <row r="90" spans="8:8" ht="15.75" customHeight="1" x14ac:dyDescent="0.15">
      <c r="H90" s="228" t="s">
        <v>241</v>
      </c>
    </row>
    <row r="91" spans="8:8" ht="15.75" customHeight="1" x14ac:dyDescent="0.15">
      <c r="H91" s="228" t="s">
        <v>242</v>
      </c>
    </row>
    <row r="92" spans="8:8" ht="15.75" customHeight="1" x14ac:dyDescent="0.15">
      <c r="H92" s="228" t="s">
        <v>243</v>
      </c>
    </row>
    <row r="93" spans="8:8" ht="15.75" customHeight="1" x14ac:dyDescent="0.15">
      <c r="H93" s="228" t="s">
        <v>244</v>
      </c>
    </row>
    <row r="94" spans="8:8" ht="15.75" customHeight="1" x14ac:dyDescent="0.15">
      <c r="H94" s="228" t="s">
        <v>245</v>
      </c>
    </row>
    <row r="95" spans="8:8" ht="15.75" customHeight="1" x14ac:dyDescent="0.15">
      <c r="H95" s="228" t="s">
        <v>246</v>
      </c>
    </row>
    <row r="96" spans="8:8" ht="15.75" customHeight="1" x14ac:dyDescent="0.15">
      <c r="H96" s="228" t="s">
        <v>247</v>
      </c>
    </row>
    <row r="97" spans="8:8" ht="15.75" customHeight="1" x14ac:dyDescent="0.15">
      <c r="H97" s="228" t="s">
        <v>248</v>
      </c>
    </row>
    <row r="98" spans="8:8" ht="15.75" customHeight="1" x14ac:dyDescent="0.15">
      <c r="H98" s="228" t="s">
        <v>249</v>
      </c>
    </row>
    <row r="99" spans="8:8" ht="15.75" customHeight="1" x14ac:dyDescent="0.15">
      <c r="H99" s="228" t="s">
        <v>250</v>
      </c>
    </row>
    <row r="100" spans="8:8" ht="15.75" customHeight="1" x14ac:dyDescent="0.15">
      <c r="H100" s="228" t="s">
        <v>251</v>
      </c>
    </row>
    <row r="101" spans="8:8" ht="15.75" customHeight="1" x14ac:dyDescent="0.15">
      <c r="H101" s="228" t="s">
        <v>252</v>
      </c>
    </row>
    <row r="102" spans="8:8" ht="15.75" customHeight="1" x14ac:dyDescent="0.15">
      <c r="H102" s="228" t="s">
        <v>253</v>
      </c>
    </row>
    <row r="103" spans="8:8" ht="15.75" customHeight="1" x14ac:dyDescent="0.15">
      <c r="H103" s="228" t="s">
        <v>254</v>
      </c>
    </row>
    <row r="104" spans="8:8" ht="15.75" customHeight="1" x14ac:dyDescent="0.15">
      <c r="H104" s="228" t="s">
        <v>255</v>
      </c>
    </row>
    <row r="105" spans="8:8" ht="15.75" customHeight="1" x14ac:dyDescent="0.15">
      <c r="H105" s="228" t="s">
        <v>256</v>
      </c>
    </row>
    <row r="106" spans="8:8" ht="15.75" customHeight="1" x14ac:dyDescent="0.15">
      <c r="H106" s="228" t="s">
        <v>257</v>
      </c>
    </row>
    <row r="107" spans="8:8" ht="15.75" customHeight="1" x14ac:dyDescent="0.15">
      <c r="H107" s="228" t="s">
        <v>258</v>
      </c>
    </row>
    <row r="108" spans="8:8" ht="15.75" customHeight="1" x14ac:dyDescent="0.15">
      <c r="H108" s="228" t="s">
        <v>259</v>
      </c>
    </row>
    <row r="109" spans="8:8" ht="15.75" customHeight="1" x14ac:dyDescent="0.15">
      <c r="H109" s="228" t="s">
        <v>260</v>
      </c>
    </row>
    <row r="110" spans="8:8" ht="15.75" customHeight="1" x14ac:dyDescent="0.15">
      <c r="H110" s="228" t="s">
        <v>261</v>
      </c>
    </row>
    <row r="111" spans="8:8" ht="15.75" customHeight="1" x14ac:dyDescent="0.15">
      <c r="H111" s="228" t="s">
        <v>262</v>
      </c>
    </row>
    <row r="112" spans="8:8" ht="15.75" customHeight="1" x14ac:dyDescent="0.15">
      <c r="H112" s="228" t="s">
        <v>263</v>
      </c>
    </row>
    <row r="113" spans="8:8" ht="15.75" customHeight="1" x14ac:dyDescent="0.15">
      <c r="H113" s="228" t="s">
        <v>264</v>
      </c>
    </row>
    <row r="114" spans="8:8" ht="15.75" customHeight="1" x14ac:dyDescent="0.15">
      <c r="H114" s="228" t="s">
        <v>265</v>
      </c>
    </row>
    <row r="115" spans="8:8" ht="15.75" customHeight="1" x14ac:dyDescent="0.15">
      <c r="H115" s="228" t="s">
        <v>266</v>
      </c>
    </row>
    <row r="116" spans="8:8" ht="15.75" customHeight="1" x14ac:dyDescent="0.15">
      <c r="H116" s="228" t="s">
        <v>267</v>
      </c>
    </row>
    <row r="117" spans="8:8" ht="15.75" customHeight="1" x14ac:dyDescent="0.15">
      <c r="H117" s="228" t="s">
        <v>268</v>
      </c>
    </row>
    <row r="118" spans="8:8" ht="15.75" customHeight="1" x14ac:dyDescent="0.15">
      <c r="H118" s="228" t="s">
        <v>269</v>
      </c>
    </row>
    <row r="119" spans="8:8" ht="15.75" customHeight="1" x14ac:dyDescent="0.15">
      <c r="H119" s="228" t="s">
        <v>270</v>
      </c>
    </row>
    <row r="120" spans="8:8" ht="15.75" customHeight="1" x14ac:dyDescent="0.15">
      <c r="H120" s="228" t="s">
        <v>271</v>
      </c>
    </row>
    <row r="121" spans="8:8" ht="15.75" customHeight="1" x14ac:dyDescent="0.15">
      <c r="H121" s="228" t="s">
        <v>272</v>
      </c>
    </row>
    <row r="122" spans="8:8" ht="15.75" customHeight="1" x14ac:dyDescent="0.15">
      <c r="H122" s="228" t="s">
        <v>273</v>
      </c>
    </row>
    <row r="123" spans="8:8" ht="15.75" customHeight="1" x14ac:dyDescent="0.15">
      <c r="H123" s="228" t="s">
        <v>274</v>
      </c>
    </row>
    <row r="124" spans="8:8" ht="15.75" customHeight="1" x14ac:dyDescent="0.15">
      <c r="H124" s="228" t="s">
        <v>275</v>
      </c>
    </row>
    <row r="125" spans="8:8" ht="15.75" customHeight="1" x14ac:dyDescent="0.15">
      <c r="H125" s="228" t="s">
        <v>276</v>
      </c>
    </row>
    <row r="126" spans="8:8" ht="15.75" customHeight="1" x14ac:dyDescent="0.15">
      <c r="H126" s="228" t="s">
        <v>277</v>
      </c>
    </row>
    <row r="127" spans="8:8" ht="15.75" customHeight="1" x14ac:dyDescent="0.15">
      <c r="H127" s="228" t="s">
        <v>278</v>
      </c>
    </row>
    <row r="128" spans="8:8" ht="15.75" customHeight="1" x14ac:dyDescent="0.15">
      <c r="H128" s="228" t="s">
        <v>279</v>
      </c>
    </row>
    <row r="129" spans="8:8" ht="15.75" customHeight="1" x14ac:dyDescent="0.15">
      <c r="H129" s="228" t="s">
        <v>280</v>
      </c>
    </row>
    <row r="130" spans="8:8" ht="15.75" customHeight="1" x14ac:dyDescent="0.15">
      <c r="H130" s="228" t="s">
        <v>281</v>
      </c>
    </row>
    <row r="131" spans="8:8" ht="15.75" customHeight="1" x14ac:dyDescent="0.15">
      <c r="H131" s="228" t="s">
        <v>282</v>
      </c>
    </row>
    <row r="132" spans="8:8" ht="15.75" customHeight="1" x14ac:dyDescent="0.15">
      <c r="H132" s="228" t="s">
        <v>283</v>
      </c>
    </row>
    <row r="133" spans="8:8" ht="15.75" customHeight="1" x14ac:dyDescent="0.15">
      <c r="H133" s="228" t="s">
        <v>284</v>
      </c>
    </row>
    <row r="134" spans="8:8" ht="15.75" customHeight="1" x14ac:dyDescent="0.15">
      <c r="H134" s="228" t="s">
        <v>285</v>
      </c>
    </row>
    <row r="135" spans="8:8" ht="15.75" customHeight="1" x14ac:dyDescent="0.15">
      <c r="H135" s="228" t="s">
        <v>286</v>
      </c>
    </row>
    <row r="136" spans="8:8" ht="15.75" customHeight="1" x14ac:dyDescent="0.15">
      <c r="H136" s="228" t="s">
        <v>287</v>
      </c>
    </row>
    <row r="137" spans="8:8" ht="15.75" customHeight="1" x14ac:dyDescent="0.15">
      <c r="H137" s="228" t="s">
        <v>288</v>
      </c>
    </row>
    <row r="138" spans="8:8" ht="15.75" customHeight="1" x14ac:dyDescent="0.15">
      <c r="H138" s="228" t="s">
        <v>289</v>
      </c>
    </row>
    <row r="139" spans="8:8" ht="15.75" customHeight="1" x14ac:dyDescent="0.15">
      <c r="H139" s="228" t="s">
        <v>290</v>
      </c>
    </row>
    <row r="140" spans="8:8" ht="15.75" customHeight="1" x14ac:dyDescent="0.15">
      <c r="H140" s="228" t="s">
        <v>291</v>
      </c>
    </row>
    <row r="141" spans="8:8" ht="15.75" customHeight="1" x14ac:dyDescent="0.15">
      <c r="H141" s="228" t="s">
        <v>292</v>
      </c>
    </row>
    <row r="142" spans="8:8" ht="15.75" customHeight="1" x14ac:dyDescent="0.15">
      <c r="H142" s="228" t="s">
        <v>293</v>
      </c>
    </row>
    <row r="143" spans="8:8" ht="15.75" customHeight="1" x14ac:dyDescent="0.15">
      <c r="H143" s="228" t="s">
        <v>294</v>
      </c>
    </row>
    <row r="144" spans="8:8" ht="15.75" customHeight="1" x14ac:dyDescent="0.15">
      <c r="H144" s="228" t="s">
        <v>295</v>
      </c>
    </row>
    <row r="145" spans="8:8" ht="15.75" customHeight="1" x14ac:dyDescent="0.15">
      <c r="H145" s="228" t="s">
        <v>296</v>
      </c>
    </row>
    <row r="146" spans="8:8" ht="15.75" customHeight="1" x14ac:dyDescent="0.15">
      <c r="H146" s="228" t="s">
        <v>297</v>
      </c>
    </row>
    <row r="147" spans="8:8" ht="15.75" customHeight="1" x14ac:dyDescent="0.15">
      <c r="H147" s="228" t="s">
        <v>298</v>
      </c>
    </row>
    <row r="148" spans="8:8" ht="15.75" customHeight="1" x14ac:dyDescent="0.15">
      <c r="H148" s="228" t="s">
        <v>299</v>
      </c>
    </row>
    <row r="149" spans="8:8" ht="15.75" customHeight="1" x14ac:dyDescent="0.15">
      <c r="H149" s="228" t="s">
        <v>300</v>
      </c>
    </row>
    <row r="150" spans="8:8" ht="15.75" customHeight="1" x14ac:dyDescent="0.15">
      <c r="H150" s="228" t="s">
        <v>301</v>
      </c>
    </row>
    <row r="151" spans="8:8" ht="15.75" customHeight="1" x14ac:dyDescent="0.15">
      <c r="H151" s="228" t="s">
        <v>302</v>
      </c>
    </row>
    <row r="152" spans="8:8" ht="15.75" customHeight="1" x14ac:dyDescent="0.15">
      <c r="H152" s="228" t="s">
        <v>303</v>
      </c>
    </row>
    <row r="153" spans="8:8" ht="15.75" customHeight="1" x14ac:dyDescent="0.15">
      <c r="H153" s="228" t="s">
        <v>304</v>
      </c>
    </row>
    <row r="154" spans="8:8" ht="15.75" customHeight="1" x14ac:dyDescent="0.15">
      <c r="H154" s="228" t="s">
        <v>305</v>
      </c>
    </row>
    <row r="155" spans="8:8" ht="15.75" customHeight="1" x14ac:dyDescent="0.15">
      <c r="H155" s="228" t="s">
        <v>306</v>
      </c>
    </row>
    <row r="156" spans="8:8" ht="15.75" customHeight="1" x14ac:dyDescent="0.15">
      <c r="H156" s="228" t="s">
        <v>307</v>
      </c>
    </row>
    <row r="157" spans="8:8" ht="15.75" customHeight="1" x14ac:dyDescent="0.15">
      <c r="H157" s="228" t="s">
        <v>308</v>
      </c>
    </row>
    <row r="158" spans="8:8" ht="15.75" customHeight="1" x14ac:dyDescent="0.15">
      <c r="H158" s="228" t="s">
        <v>309</v>
      </c>
    </row>
    <row r="159" spans="8:8" ht="15.75" customHeight="1" x14ac:dyDescent="0.15">
      <c r="H159" s="228" t="s">
        <v>310</v>
      </c>
    </row>
    <row r="160" spans="8:8" ht="15.75" customHeight="1" x14ac:dyDescent="0.15">
      <c r="H160" s="228" t="s">
        <v>311</v>
      </c>
    </row>
    <row r="161" spans="8:8" ht="15.75" customHeight="1" x14ac:dyDescent="0.15">
      <c r="H161" s="228" t="s">
        <v>312</v>
      </c>
    </row>
    <row r="162" spans="8:8" ht="15.75" customHeight="1" x14ac:dyDescent="0.15">
      <c r="H162" s="228" t="s">
        <v>313</v>
      </c>
    </row>
    <row r="163" spans="8:8" ht="15.75" customHeight="1" x14ac:dyDescent="0.15">
      <c r="H163" s="228" t="s">
        <v>314</v>
      </c>
    </row>
    <row r="164" spans="8:8" ht="15.75" customHeight="1" x14ac:dyDescent="0.15">
      <c r="H164" s="228" t="s">
        <v>315</v>
      </c>
    </row>
    <row r="165" spans="8:8" ht="15.75" customHeight="1" x14ac:dyDescent="0.15">
      <c r="H165" s="228" t="s">
        <v>316</v>
      </c>
    </row>
    <row r="166" spans="8:8" ht="15.75" customHeight="1" x14ac:dyDescent="0.15">
      <c r="H166" s="228" t="s">
        <v>317</v>
      </c>
    </row>
    <row r="167" spans="8:8" ht="15.75" customHeight="1" x14ac:dyDescent="0.15">
      <c r="H167" s="228" t="s">
        <v>318</v>
      </c>
    </row>
    <row r="168" spans="8:8" ht="15.75" customHeight="1" x14ac:dyDescent="0.15">
      <c r="H168" s="228" t="s">
        <v>319</v>
      </c>
    </row>
    <row r="169" spans="8:8" ht="15.75" customHeight="1" x14ac:dyDescent="0.15">
      <c r="H169" s="228" t="s">
        <v>320</v>
      </c>
    </row>
    <row r="170" spans="8:8" ht="15.75" customHeight="1" x14ac:dyDescent="0.15">
      <c r="H170" s="228" t="s">
        <v>321</v>
      </c>
    </row>
    <row r="171" spans="8:8" ht="15.75" customHeight="1" x14ac:dyDescent="0.15">
      <c r="H171" s="228" t="s">
        <v>322</v>
      </c>
    </row>
    <row r="172" spans="8:8" ht="15.75" customHeight="1" x14ac:dyDescent="0.15">
      <c r="H172" s="228" t="s">
        <v>323</v>
      </c>
    </row>
    <row r="173" spans="8:8" ht="15.75" customHeight="1" x14ac:dyDescent="0.15">
      <c r="H173" s="228" t="s">
        <v>324</v>
      </c>
    </row>
    <row r="174" spans="8:8" ht="15.75" customHeight="1" x14ac:dyDescent="0.15">
      <c r="H174" s="228" t="s">
        <v>325</v>
      </c>
    </row>
    <row r="175" spans="8:8" ht="15.75" customHeight="1" x14ac:dyDescent="0.15">
      <c r="H175" s="228" t="s">
        <v>326</v>
      </c>
    </row>
    <row r="176" spans="8:8" ht="15.75" customHeight="1" x14ac:dyDescent="0.15">
      <c r="H176" s="228" t="s">
        <v>327</v>
      </c>
    </row>
    <row r="177" spans="8:8" ht="15.75" customHeight="1" x14ac:dyDescent="0.15">
      <c r="H177" s="228" t="s">
        <v>328</v>
      </c>
    </row>
    <row r="178" spans="8:8" ht="15.75" customHeight="1" x14ac:dyDescent="0.15">
      <c r="H178" s="228" t="s">
        <v>329</v>
      </c>
    </row>
    <row r="179" spans="8:8" ht="15.75" customHeight="1" x14ac:dyDescent="0.15">
      <c r="H179" s="228" t="s">
        <v>330</v>
      </c>
    </row>
    <row r="180" spans="8:8" ht="15.75" customHeight="1" x14ac:dyDescent="0.15">
      <c r="H180" s="228" t="s">
        <v>331</v>
      </c>
    </row>
    <row r="181" spans="8:8" ht="15.75" customHeight="1" x14ac:dyDescent="0.15">
      <c r="H181" s="228" t="s">
        <v>332</v>
      </c>
    </row>
    <row r="182" spans="8:8" ht="15.75" customHeight="1" x14ac:dyDescent="0.15">
      <c r="H182" s="228" t="s">
        <v>333</v>
      </c>
    </row>
    <row r="183" spans="8:8" ht="15.75" customHeight="1" x14ac:dyDescent="0.15">
      <c r="H183" s="228" t="s">
        <v>334</v>
      </c>
    </row>
    <row r="184" spans="8:8" ht="15.75" customHeight="1" x14ac:dyDescent="0.15">
      <c r="H184" s="228" t="s">
        <v>335</v>
      </c>
    </row>
    <row r="185" spans="8:8" ht="15.75" customHeight="1" x14ac:dyDescent="0.15">
      <c r="H185" s="228" t="s">
        <v>336</v>
      </c>
    </row>
    <row r="186" spans="8:8" ht="15.75" customHeight="1" x14ac:dyDescent="0.15">
      <c r="H186" s="228" t="s">
        <v>337</v>
      </c>
    </row>
    <row r="187" spans="8:8" ht="15.75" customHeight="1" x14ac:dyDescent="0.15">
      <c r="H187" s="228" t="s">
        <v>338</v>
      </c>
    </row>
    <row r="188" spans="8:8" ht="15.75" customHeight="1" x14ac:dyDescent="0.15">
      <c r="H188" s="228" t="s">
        <v>339</v>
      </c>
    </row>
    <row r="189" spans="8:8" ht="15.75" customHeight="1" x14ac:dyDescent="0.15">
      <c r="H189" s="228" t="s">
        <v>340</v>
      </c>
    </row>
    <row r="190" spans="8:8" ht="15.75" customHeight="1" x14ac:dyDescent="0.15">
      <c r="H190" s="228" t="s">
        <v>341</v>
      </c>
    </row>
    <row r="191" spans="8:8" ht="15.75" customHeight="1" x14ac:dyDescent="0.15">
      <c r="H191" s="228" t="s">
        <v>342</v>
      </c>
    </row>
    <row r="192" spans="8:8" ht="15.75" customHeight="1" x14ac:dyDescent="0.15">
      <c r="H192" s="228" t="s">
        <v>343</v>
      </c>
    </row>
    <row r="193" spans="8:8" ht="15.75" customHeight="1" x14ac:dyDescent="0.15">
      <c r="H193" s="228" t="s">
        <v>344</v>
      </c>
    </row>
    <row r="194" spans="8:8" ht="15.75" customHeight="1" x14ac:dyDescent="0.15">
      <c r="H194" s="228" t="s">
        <v>345</v>
      </c>
    </row>
    <row r="195" spans="8:8" ht="15.75" customHeight="1" x14ac:dyDescent="0.15">
      <c r="H195" s="228" t="s">
        <v>346</v>
      </c>
    </row>
    <row r="196" spans="8:8" ht="15.75" customHeight="1" x14ac:dyDescent="0.15">
      <c r="H196" s="228" t="s">
        <v>347</v>
      </c>
    </row>
    <row r="197" spans="8:8" ht="15.75" customHeight="1" x14ac:dyDescent="0.15">
      <c r="H197" s="228" t="s">
        <v>348</v>
      </c>
    </row>
    <row r="198" spans="8:8" ht="15.75" customHeight="1" x14ac:dyDescent="0.15">
      <c r="H198" s="228" t="s">
        <v>349</v>
      </c>
    </row>
    <row r="199" spans="8:8" ht="15.75" customHeight="1" x14ac:dyDescent="0.15">
      <c r="H199" s="228" t="s">
        <v>350</v>
      </c>
    </row>
    <row r="200" spans="8:8" ht="15.75" customHeight="1" x14ac:dyDescent="0.15">
      <c r="H200" s="228" t="s">
        <v>351</v>
      </c>
    </row>
    <row r="201" spans="8:8" ht="15.75" customHeight="1" x14ac:dyDescent="0.15">
      <c r="H201" s="228" t="s">
        <v>352</v>
      </c>
    </row>
    <row r="202" spans="8:8" ht="15.75" customHeight="1" x14ac:dyDescent="0.15">
      <c r="H202" s="228" t="s">
        <v>353</v>
      </c>
    </row>
    <row r="203" spans="8:8" ht="15.75" customHeight="1" x14ac:dyDescent="0.15">
      <c r="H203" s="228" t="s">
        <v>354</v>
      </c>
    </row>
    <row r="204" spans="8:8" ht="15.75" customHeight="1" x14ac:dyDescent="0.15">
      <c r="H204" s="228" t="s">
        <v>355</v>
      </c>
    </row>
    <row r="205" spans="8:8" ht="15.75" customHeight="1" x14ac:dyDescent="0.15">
      <c r="H205" s="228" t="s">
        <v>356</v>
      </c>
    </row>
    <row r="206" spans="8:8" ht="15.75" customHeight="1" x14ac:dyDescent="0.15">
      <c r="H206" s="228" t="s">
        <v>357</v>
      </c>
    </row>
    <row r="207" spans="8:8" ht="15.75" customHeight="1" x14ac:dyDescent="0.15">
      <c r="H207" s="228" t="s">
        <v>358</v>
      </c>
    </row>
    <row r="208" spans="8:8" ht="15.75" customHeight="1" x14ac:dyDescent="0.15">
      <c r="H208" s="228" t="s">
        <v>359</v>
      </c>
    </row>
    <row r="209" spans="8:8" ht="15.75" customHeight="1" x14ac:dyDescent="0.15">
      <c r="H209" s="228" t="s">
        <v>360</v>
      </c>
    </row>
    <row r="210" spans="8:8" ht="15.75" customHeight="1" x14ac:dyDescent="0.15">
      <c r="H210" s="228" t="s">
        <v>361</v>
      </c>
    </row>
    <row r="211" spans="8:8" ht="15.75" customHeight="1" x14ac:dyDescent="0.15">
      <c r="H211" s="228" t="s">
        <v>362</v>
      </c>
    </row>
    <row r="212" spans="8:8" ht="15.75" customHeight="1" x14ac:dyDescent="0.15">
      <c r="H212" s="228" t="s">
        <v>363</v>
      </c>
    </row>
    <row r="213" spans="8:8" ht="15.75" customHeight="1" x14ac:dyDescent="0.15">
      <c r="H213" s="228" t="s">
        <v>364</v>
      </c>
    </row>
    <row r="214" spans="8:8" ht="15.75" customHeight="1" x14ac:dyDescent="0.15">
      <c r="H214" s="228" t="s">
        <v>365</v>
      </c>
    </row>
    <row r="215" spans="8:8" ht="15.75" customHeight="1" x14ac:dyDescent="0.15">
      <c r="H215" s="228" t="s">
        <v>366</v>
      </c>
    </row>
    <row r="216" spans="8:8" ht="15.75" customHeight="1" x14ac:dyDescent="0.15">
      <c r="H216" s="228" t="s">
        <v>367</v>
      </c>
    </row>
    <row r="217" spans="8:8" ht="15.75" customHeight="1" x14ac:dyDescent="0.15">
      <c r="H217" s="228" t="s">
        <v>368</v>
      </c>
    </row>
    <row r="218" spans="8:8" ht="15.75" customHeight="1" x14ac:dyDescent="0.15">
      <c r="H218" s="228" t="s">
        <v>369</v>
      </c>
    </row>
    <row r="219" spans="8:8" ht="15.75" customHeight="1" x14ac:dyDescent="0.15">
      <c r="H219" s="228" t="s">
        <v>370</v>
      </c>
    </row>
    <row r="220" spans="8:8" ht="15.75" customHeight="1" x14ac:dyDescent="0.15">
      <c r="H220" s="228" t="s">
        <v>371</v>
      </c>
    </row>
    <row r="221" spans="8:8" ht="15.75" customHeight="1" x14ac:dyDescent="0.15">
      <c r="H221" s="228" t="s">
        <v>372</v>
      </c>
    </row>
    <row r="222" spans="8:8" ht="15.75" customHeight="1" x14ac:dyDescent="0.15">
      <c r="H222" s="228" t="s">
        <v>373</v>
      </c>
    </row>
    <row r="223" spans="8:8" ht="15.75" customHeight="1" x14ac:dyDescent="0.15">
      <c r="H223" s="228" t="s">
        <v>374</v>
      </c>
    </row>
    <row r="224" spans="8:8" ht="15.75" customHeight="1" x14ac:dyDescent="0.15">
      <c r="H224" s="228" t="s">
        <v>375</v>
      </c>
    </row>
    <row r="225" spans="8:8" ht="15.75" customHeight="1" x14ac:dyDescent="0.15">
      <c r="H225" s="228" t="s">
        <v>376</v>
      </c>
    </row>
    <row r="226" spans="8:8" ht="15.75" customHeight="1" x14ac:dyDescent="0.15">
      <c r="H226" s="228" t="s">
        <v>377</v>
      </c>
    </row>
    <row r="227" spans="8:8" ht="15.75" customHeight="1" x14ac:dyDescent="0.15">
      <c r="H227" s="228" t="s">
        <v>378</v>
      </c>
    </row>
    <row r="228" spans="8:8" ht="15.75" customHeight="1" x14ac:dyDescent="0.15">
      <c r="H228" s="228" t="s">
        <v>379</v>
      </c>
    </row>
    <row r="229" spans="8:8" ht="15.75" customHeight="1" x14ac:dyDescent="0.15">
      <c r="H229" s="228" t="s">
        <v>380</v>
      </c>
    </row>
    <row r="230" spans="8:8" ht="15.75" customHeight="1" x14ac:dyDescent="0.15">
      <c r="H230" s="228" t="s">
        <v>381</v>
      </c>
    </row>
    <row r="231" spans="8:8" ht="15.75" customHeight="1" x14ac:dyDescent="0.15">
      <c r="H231" s="228" t="s">
        <v>382</v>
      </c>
    </row>
    <row r="232" spans="8:8" ht="15.75" customHeight="1" x14ac:dyDescent="0.15">
      <c r="H232" s="228" t="s">
        <v>383</v>
      </c>
    </row>
    <row r="233" spans="8:8" ht="15.75" customHeight="1" x14ac:dyDescent="0.15">
      <c r="H233" s="228" t="s">
        <v>384</v>
      </c>
    </row>
    <row r="234" spans="8:8" ht="15.75" customHeight="1" x14ac:dyDescent="0.15">
      <c r="H234" s="228" t="s">
        <v>385</v>
      </c>
    </row>
    <row r="235" spans="8:8" ht="15.75" customHeight="1" x14ac:dyDescent="0.15">
      <c r="H235" s="228" t="s">
        <v>386</v>
      </c>
    </row>
    <row r="236" spans="8:8" ht="15.75" customHeight="1" x14ac:dyDescent="0.15">
      <c r="H236" s="228" t="s">
        <v>387</v>
      </c>
    </row>
    <row r="237" spans="8:8" ht="15.75" customHeight="1" x14ac:dyDescent="0.15">
      <c r="H237" s="228" t="s">
        <v>388</v>
      </c>
    </row>
    <row r="238" spans="8:8" ht="15.75" customHeight="1" x14ac:dyDescent="0.15">
      <c r="H238" s="228" t="s">
        <v>389</v>
      </c>
    </row>
    <row r="239" spans="8:8" ht="15.75" customHeight="1" x14ac:dyDescent="0.15">
      <c r="H239" s="228" t="s">
        <v>390</v>
      </c>
    </row>
    <row r="240" spans="8:8" ht="15.75" customHeight="1" x14ac:dyDescent="0.15">
      <c r="H240" s="228" t="s">
        <v>391</v>
      </c>
    </row>
    <row r="241" spans="8:8" ht="15.75" customHeight="1" x14ac:dyDescent="0.15">
      <c r="H241" s="228" t="s">
        <v>392</v>
      </c>
    </row>
    <row r="242" spans="8:8" ht="15.75" customHeight="1" x14ac:dyDescent="0.15">
      <c r="H242" s="228" t="s">
        <v>393</v>
      </c>
    </row>
    <row r="243" spans="8:8" ht="15.75" customHeight="1" x14ac:dyDescent="0.15">
      <c r="H243" s="228" t="s">
        <v>394</v>
      </c>
    </row>
    <row r="244" spans="8:8" ht="15.75" customHeight="1" x14ac:dyDescent="0.15">
      <c r="H244" s="228" t="s">
        <v>395</v>
      </c>
    </row>
    <row r="245" spans="8:8" ht="15.75" customHeight="1" x14ac:dyDescent="0.15">
      <c r="H245" s="228" t="s">
        <v>396</v>
      </c>
    </row>
    <row r="246" spans="8:8" ht="15.75" customHeight="1" x14ac:dyDescent="0.15">
      <c r="H246" s="228" t="s">
        <v>397</v>
      </c>
    </row>
    <row r="247" spans="8:8" ht="15.75" customHeight="1" x14ac:dyDescent="0.15">
      <c r="H247" s="228" t="s">
        <v>398</v>
      </c>
    </row>
    <row r="248" spans="8:8" ht="15.75" customHeight="1" x14ac:dyDescent="0.15">
      <c r="H248" s="228" t="s">
        <v>399</v>
      </c>
    </row>
    <row r="249" spans="8:8" ht="15.75" customHeight="1" x14ac:dyDescent="0.15">
      <c r="H249" s="228" t="s">
        <v>400</v>
      </c>
    </row>
    <row r="250" spans="8:8" ht="15.75" customHeight="1" x14ac:dyDescent="0.15">
      <c r="H250" s="228" t="s">
        <v>401</v>
      </c>
    </row>
    <row r="251" spans="8:8" ht="15.75" customHeight="1" x14ac:dyDescent="0.15">
      <c r="H251" s="228" t="s">
        <v>141</v>
      </c>
    </row>
    <row r="252" spans="8:8" ht="15.75" customHeight="1" x14ac:dyDescent="0.15">
      <c r="H252" s="228" t="s">
        <v>402</v>
      </c>
    </row>
    <row r="253" spans="8:8" ht="15.75" customHeight="1" x14ac:dyDescent="0.15">
      <c r="H253" s="228" t="s">
        <v>403</v>
      </c>
    </row>
    <row r="254" spans="8:8" ht="15.75" customHeight="1" x14ac:dyDescent="0.15">
      <c r="H254" s="228" t="s">
        <v>404</v>
      </c>
    </row>
    <row r="255" spans="8:8" ht="15.75" customHeight="1" x14ac:dyDescent="0.15">
      <c r="H255" s="228" t="s">
        <v>405</v>
      </c>
    </row>
    <row r="256" spans="8:8" ht="15.75" customHeight="1" x14ac:dyDescent="0.15">
      <c r="H256" s="228" t="s">
        <v>406</v>
      </c>
    </row>
    <row r="257" spans="8:8" ht="15.75" customHeight="1" x14ac:dyDescent="0.15">
      <c r="H257" s="228" t="s">
        <v>407</v>
      </c>
    </row>
    <row r="258" spans="8:8" ht="15.75" customHeight="1" x14ac:dyDescent="0.15">
      <c r="H258" s="228" t="s">
        <v>408</v>
      </c>
    </row>
    <row r="259" spans="8:8" ht="15.75" customHeight="1" x14ac:dyDescent="0.15">
      <c r="H259" s="228" t="s">
        <v>409</v>
      </c>
    </row>
    <row r="260" spans="8:8" ht="15.75" customHeight="1" x14ac:dyDescent="0.15">
      <c r="H260" s="228" t="s">
        <v>410</v>
      </c>
    </row>
    <row r="261" spans="8:8" ht="15.75" customHeight="1" x14ac:dyDescent="0.15">
      <c r="H261" s="228" t="s">
        <v>411</v>
      </c>
    </row>
    <row r="262" spans="8:8" ht="15.75" customHeight="1" x14ac:dyDescent="0.15">
      <c r="H262" s="228" t="s">
        <v>412</v>
      </c>
    </row>
    <row r="263" spans="8:8" ht="15.75" customHeight="1" x14ac:dyDescent="0.15">
      <c r="H263" s="228" t="s">
        <v>413</v>
      </c>
    </row>
    <row r="264" spans="8:8" ht="15.75" customHeight="1" x14ac:dyDescent="0.15">
      <c r="H264" s="228" t="s">
        <v>414</v>
      </c>
    </row>
    <row r="265" spans="8:8" ht="15.75" customHeight="1" x14ac:dyDescent="0.15">
      <c r="H265" s="228" t="s">
        <v>415</v>
      </c>
    </row>
    <row r="266" spans="8:8" ht="15.75" customHeight="1" x14ac:dyDescent="0.15">
      <c r="H266" s="228" t="s">
        <v>416</v>
      </c>
    </row>
    <row r="267" spans="8:8" ht="15.75" customHeight="1" x14ac:dyDescent="0.15">
      <c r="H267" s="228" t="s">
        <v>417</v>
      </c>
    </row>
    <row r="268" spans="8:8" ht="15.75" customHeight="1" x14ac:dyDescent="0.15">
      <c r="H268" s="228" t="s">
        <v>418</v>
      </c>
    </row>
    <row r="269" spans="8:8" ht="15.75" customHeight="1" x14ac:dyDescent="0.15">
      <c r="H269" s="228" t="s">
        <v>419</v>
      </c>
    </row>
    <row r="270" spans="8:8" ht="15.75" customHeight="1" x14ac:dyDescent="0.15">
      <c r="H270" s="228" t="s">
        <v>420</v>
      </c>
    </row>
    <row r="271" spans="8:8" ht="15.75" customHeight="1" x14ac:dyDescent="0.15">
      <c r="H271" s="228" t="s">
        <v>421</v>
      </c>
    </row>
    <row r="272" spans="8:8" ht="15.75" customHeight="1" x14ac:dyDescent="0.15">
      <c r="H272" s="228" t="s">
        <v>422</v>
      </c>
    </row>
    <row r="273" spans="8:8" ht="15.75" customHeight="1" x14ac:dyDescent="0.15">
      <c r="H273" s="228" t="s">
        <v>423</v>
      </c>
    </row>
    <row r="274" spans="8:8" ht="15.75" customHeight="1" x14ac:dyDescent="0.15">
      <c r="H274" s="228" t="s">
        <v>424</v>
      </c>
    </row>
    <row r="275" spans="8:8" ht="15.75" customHeight="1" x14ac:dyDescent="0.15">
      <c r="H275" s="228" t="s">
        <v>425</v>
      </c>
    </row>
    <row r="276" spans="8:8" ht="15.75" customHeight="1" x14ac:dyDescent="0.15">
      <c r="H276" s="228" t="s">
        <v>426</v>
      </c>
    </row>
    <row r="277" spans="8:8" ht="15.75" customHeight="1" x14ac:dyDescent="0.15">
      <c r="H277" s="228" t="s">
        <v>427</v>
      </c>
    </row>
    <row r="278" spans="8:8" ht="15.75" customHeight="1" x14ac:dyDescent="0.15">
      <c r="H278" s="228" t="s">
        <v>428</v>
      </c>
    </row>
    <row r="279" spans="8:8" ht="15.75" customHeight="1" x14ac:dyDescent="0.15">
      <c r="H279" s="228" t="s">
        <v>429</v>
      </c>
    </row>
    <row r="280" spans="8:8" ht="15.75" customHeight="1" x14ac:dyDescent="0.15">
      <c r="H280" s="228" t="s">
        <v>430</v>
      </c>
    </row>
    <row r="281" spans="8:8" ht="15.75" customHeight="1" x14ac:dyDescent="0.15">
      <c r="H281" s="228" t="s">
        <v>431</v>
      </c>
    </row>
    <row r="282" spans="8:8" ht="15.75" customHeight="1" x14ac:dyDescent="0.15">
      <c r="H282" s="228" t="s">
        <v>432</v>
      </c>
    </row>
    <row r="283" spans="8:8" ht="15.75" customHeight="1" x14ac:dyDescent="0.15">
      <c r="H283" s="228" t="s">
        <v>433</v>
      </c>
    </row>
    <row r="284" spans="8:8" ht="15.75" customHeight="1" x14ac:dyDescent="0.15">
      <c r="H284" s="228" t="s">
        <v>434</v>
      </c>
    </row>
    <row r="285" spans="8:8" ht="15.75" customHeight="1" x14ac:dyDescent="0.15">
      <c r="H285" s="228" t="s">
        <v>435</v>
      </c>
    </row>
    <row r="286" spans="8:8" ht="15.75" customHeight="1" x14ac:dyDescent="0.15">
      <c r="H286" s="228" t="s">
        <v>436</v>
      </c>
    </row>
    <row r="287" spans="8:8" ht="15.75" customHeight="1" x14ac:dyDescent="0.15">
      <c r="H287" s="228" t="s">
        <v>437</v>
      </c>
    </row>
    <row r="288" spans="8:8" ht="15.75" customHeight="1" x14ac:dyDescent="0.15">
      <c r="H288" s="228" t="s">
        <v>438</v>
      </c>
    </row>
    <row r="289" spans="8:8" ht="15.75" customHeight="1" x14ac:dyDescent="0.15">
      <c r="H289" s="228" t="s">
        <v>439</v>
      </c>
    </row>
    <row r="290" spans="8:8" ht="15.75" customHeight="1" x14ac:dyDescent="0.15">
      <c r="H290" s="228" t="s">
        <v>440</v>
      </c>
    </row>
    <row r="291" spans="8:8" ht="15.75" customHeight="1" x14ac:dyDescent="0.15">
      <c r="H291" s="228" t="s">
        <v>441</v>
      </c>
    </row>
    <row r="292" spans="8:8" ht="15.75" customHeight="1" x14ac:dyDescent="0.15">
      <c r="H292" s="228" t="s">
        <v>442</v>
      </c>
    </row>
    <row r="293" spans="8:8" ht="15.75" customHeight="1" x14ac:dyDescent="0.15">
      <c r="H293" s="228" t="s">
        <v>443</v>
      </c>
    </row>
    <row r="294" spans="8:8" ht="15.75" customHeight="1" x14ac:dyDescent="0.15">
      <c r="H294" s="228" t="s">
        <v>444</v>
      </c>
    </row>
    <row r="295" spans="8:8" ht="15.75" customHeight="1" x14ac:dyDescent="0.15">
      <c r="H295" s="228" t="s">
        <v>445</v>
      </c>
    </row>
    <row r="296" spans="8:8" ht="15.75" customHeight="1" x14ac:dyDescent="0.15">
      <c r="H296" s="228" t="s">
        <v>446</v>
      </c>
    </row>
    <row r="297" spans="8:8" ht="15.75" customHeight="1" x14ac:dyDescent="0.15">
      <c r="H297" s="228" t="s">
        <v>447</v>
      </c>
    </row>
    <row r="298" spans="8:8" ht="15.75" customHeight="1" x14ac:dyDescent="0.15">
      <c r="H298" s="228" t="s">
        <v>448</v>
      </c>
    </row>
    <row r="299" spans="8:8" ht="15.75" customHeight="1" x14ac:dyDescent="0.15">
      <c r="H299" s="228" t="s">
        <v>449</v>
      </c>
    </row>
    <row r="300" spans="8:8" ht="15.75" customHeight="1" x14ac:dyDescent="0.15">
      <c r="H300" s="228" t="s">
        <v>450</v>
      </c>
    </row>
    <row r="301" spans="8:8" ht="15.75" customHeight="1" x14ac:dyDescent="0.15">
      <c r="H301" s="228" t="s">
        <v>451</v>
      </c>
    </row>
    <row r="302" spans="8:8" ht="15.75" customHeight="1" x14ac:dyDescent="0.15">
      <c r="H302" s="228" t="s">
        <v>452</v>
      </c>
    </row>
    <row r="303" spans="8:8" ht="15.75" customHeight="1" x14ac:dyDescent="0.15">
      <c r="H303" s="229" t="s">
        <v>453</v>
      </c>
    </row>
  </sheetData>
  <sortState xmlns:xlrd2="http://schemas.microsoft.com/office/spreadsheetml/2017/richdata2" ref="F8:F19">
    <sortCondition ref="F8:F19"/>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Data Validation Tests</vt:lpstr>
      <vt:lpstr>Notes</vt:lpstr>
      <vt:lpstr>Comparative Trial Balances</vt:lpstr>
      <vt:lpstr>Journal Entries &amp; Lines</vt:lpstr>
      <vt:lpstr>Banking Accts</vt:lpstr>
      <vt:lpstr>Banking Txn</vt:lpstr>
      <vt:lpstr>Mapping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Kingery</cp:lastModifiedBy>
  <dcterms:created xsi:type="dcterms:W3CDTF">2024-01-23T18:23:14Z</dcterms:created>
  <dcterms:modified xsi:type="dcterms:W3CDTF">2025-04-30T20:56:06Z</dcterms:modified>
</cp:coreProperties>
</file>